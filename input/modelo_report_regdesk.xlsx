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9" activeTab="10" autoFilterDateGrouping="1"/>
  </bookViews>
  <sheets>
    <sheet name="01_edicoes" sheetId="1" state="visible" r:id="rId1"/>
    <sheet name="02_secoes" sheetId="2" state="visible" r:id="rId2"/>
    <sheet name="03_orgaos" sheetId="3" state="visible" r:id="rId3"/>
    <sheet name="04_destaques" sheetId="4" state="visible" r:id="rId4"/>
    <sheet name="09_pauta_aneel" sheetId="5" state="visible" r:id="rId5"/>
    <sheet name="10_normativos_publicados" sheetId="6" state="visible" r:id="rId6"/>
    <sheet name="05_pendencias" sheetId="7" state="visible" r:id="rId7"/>
    <sheet name="06_consultas" sheetId="8" state="visible" r:id="rId8"/>
    <sheet name="07_leiloes" sheetId="9" state="visible" r:id="rId9"/>
    <sheet name="07_leiloes_comentarios" sheetId="10" state="visible" r:id="rId10"/>
    <sheet name="08_agenda" sheetId="11" state="visible" r:id="rId11"/>
    <sheet name="11_empresas" sheetId="12" state="visible" r:id="rId12"/>
    <sheet name="12_users" sheetId="13" state="visible" r:id="rId13"/>
    <sheet name="13_tags" sheetId="14" state="visible" r:id="rId14"/>
    <sheet name="14_listas_controladas" sheetId="15" state="visible" r:id="rId15"/>
    <sheet name="15_validacao" sheetId="16" state="visible" r:id="rId16"/>
  </sheets>
  <definedNames/>
  <calcPr calcId="191029" fullCalcOnLoad="1"/>
</workbook>
</file>

<file path=xl/styles.xml><?xml version="1.0" encoding="utf-8"?>
<styleSheet xmlns="http://schemas.openxmlformats.org/spreadsheetml/2006/main">
  <numFmts count="0"/>
  <fonts count="8">
    <font>
      <name val="Carlito"/>
      <sz val="11"/>
    </font>
    <font>
      <name val="Carlito"/>
      <b val="1"/>
      <color rgb="FFFFFFFF"/>
      <sz val="14"/>
    </font>
    <font>
      <name val="Carlito"/>
      <i val="1"/>
      <color rgb="FF344C64"/>
      <sz val="11"/>
    </font>
    <font>
      <name val="Carlito"/>
      <b val="1"/>
      <color rgb="FFFFFFFF"/>
      <sz val="11"/>
    </font>
    <font>
      <name val="Carlito"/>
      <color rgb="FF1F2933"/>
      <sz val="10"/>
    </font>
    <font>
      <name val="Carlito"/>
      <color theme="1"/>
      <sz val="11"/>
    </font>
    <font>
      <name val="Carlito"/>
      <i val="1"/>
      <color rgb="FF000000"/>
      <sz val="11"/>
    </font>
    <font>
      <name val="Carlito"/>
      <color rgb="FF000000"/>
      <sz val="11"/>
    </font>
  </fonts>
  <fills count="12">
    <fill>
      <patternFill/>
    </fill>
    <fill>
      <patternFill patternType="gray125"/>
    </fill>
    <fill>
      <patternFill patternType="solid">
        <fgColor rgb="FFEEF2F2"/>
      </patternFill>
    </fill>
    <fill>
      <patternFill patternType="solid">
        <fgColor rgb="FF344C64"/>
      </patternFill>
    </fill>
    <fill>
      <patternFill patternType="solid">
        <fgColor rgb="FFE6EFE5"/>
      </patternFill>
    </fill>
    <fill>
      <patternFill patternType="solid">
        <fgColor rgb="FF86AC80"/>
      </patternFill>
    </fill>
    <fill>
      <patternFill patternType="solid">
        <fgColor rgb="FFFFFFFF"/>
      </patternFill>
    </fill>
    <fill>
      <patternFill patternType="solid">
        <fgColor theme="4" tint="0.7999816888943144"/>
        <bgColor theme="4" tint="0.7999816888943144"/>
      </patternFill>
    </fill>
    <fill>
      <patternFill patternType="solid">
        <fgColor rgb="FFA9B2B1"/>
      </patternFill>
    </fill>
    <fill>
      <patternFill patternType="solid">
        <fgColor theme="4" tint="0.7999816888943144"/>
        <bgColor indexed="64"/>
      </patternFill>
    </fill>
    <fill>
      <patternFill patternType="solid">
        <fgColor theme="0"/>
        <bgColor theme="4" tint="0.7999816888943144"/>
      </patternFill>
    </fill>
    <fill>
      <patternFill patternType="solid">
        <fgColor theme="0"/>
        <bgColor indexed="64"/>
      </patternFill>
    </fill>
  </fills>
  <borders count="4">
    <border>
      <left/>
      <right/>
      <top/>
      <bottom/>
      <diagonal/>
    </border>
    <border>
      <left style="thin">
        <color theme="4" tint="0.3999755851924192"/>
      </left>
      <right/>
      <top style="thin">
        <color theme="4" tint="0.3999755851924192"/>
      </top>
      <bottom style="thin">
        <color theme="4" tint="0.3999755851924192"/>
      </bottom>
      <diagonal/>
    </border>
    <border>
      <left/>
      <right style="thin">
        <color theme="4" tint="0.3999755851924192"/>
      </right>
      <top style="thin">
        <color theme="4" tint="0.3999755851924192"/>
      </top>
      <bottom style="thin">
        <color theme="4" tint="0.3999755851924192"/>
      </bottom>
      <diagonal/>
    </border>
    <border>
      <left/>
      <right/>
      <top style="thin">
        <color theme="4" tint="0.3999755851924192"/>
      </top>
      <bottom style="thin">
        <color theme="4" tint="0.3999755851924192"/>
      </bottom>
      <diagonal/>
    </border>
  </borders>
  <cellStyleXfs count="1">
    <xf numFmtId="0" fontId="0" fillId="0" borderId="0"/>
  </cellStyleXfs>
  <cellXfs count="33">
    <xf numFmtId="0" fontId="0" fillId="0" borderId="0" pivotButton="0" quotePrefix="0" xfId="0"/>
    <xf numFmtId="0" fontId="0" fillId="0" borderId="0" applyAlignment="1" pivotButton="0" quotePrefix="0" xfId="0">
      <alignment wrapText="1"/>
    </xf>
    <xf numFmtId="0" fontId="0" fillId="0" borderId="0" applyAlignment="1" pivotButton="0" quotePrefix="0" xfId="0">
      <alignment vertical="top" wrapText="1"/>
    </xf>
    <xf numFmtId="14" fontId="0" fillId="0" borderId="0" applyAlignment="1" pivotButton="0" quotePrefix="0" xfId="0">
      <alignment vertical="top" wrapText="1"/>
    </xf>
    <xf numFmtId="0" fontId="1" fillId="3" borderId="0" pivotButton="0" quotePrefix="0" xfId="0"/>
    <xf numFmtId="0" fontId="3" fillId="5" borderId="0" applyAlignment="1" pivotButton="0" quotePrefix="0" xfId="0">
      <alignment wrapText="1"/>
    </xf>
    <xf numFmtId="0" fontId="3" fillId="5" borderId="0" applyAlignment="1" pivotButton="0" quotePrefix="0" xfId="0">
      <alignment horizontal="center" wrapText="1"/>
    </xf>
    <xf numFmtId="0" fontId="4" fillId="6" borderId="0" applyAlignment="1" pivotButton="0" quotePrefix="0" xfId="0">
      <alignment vertical="top" wrapText="1"/>
    </xf>
    <xf numFmtId="14" fontId="4" fillId="6" borderId="0" applyAlignment="1" pivotButton="0" quotePrefix="0" xfId="0">
      <alignment vertical="top" wrapText="1"/>
    </xf>
    <xf numFmtId="0" fontId="2" fillId="4" borderId="0" pivotButton="0" quotePrefix="0" xfId="0"/>
    <xf numFmtId="0" fontId="1" fillId="3" borderId="0" applyAlignment="1" pivotButton="0" quotePrefix="0" xfId="0">
      <alignment horizontal="left" vertical="center"/>
    </xf>
    <xf numFmtId="0" fontId="7" fillId="8" borderId="0" applyAlignment="1" pivotButton="0" quotePrefix="0" xfId="0">
      <alignment vertical="center" wrapText="1"/>
    </xf>
    <xf numFmtId="0" fontId="3" fillId="5" borderId="0" applyAlignment="1" pivotButton="0" quotePrefix="0" xfId="0">
      <alignment horizontal="center" vertical="center" wrapText="1"/>
    </xf>
    <xf numFmtId="14" fontId="0" fillId="0" borderId="0" pivotButton="0" quotePrefix="0" xfId="0"/>
    <xf numFmtId="14" fontId="5" fillId="7" borderId="2" applyAlignment="1" pivotButton="0" quotePrefix="0" xfId="0">
      <alignment vertical="top" wrapText="1"/>
    </xf>
    <xf numFmtId="0" fontId="5" fillId="7" borderId="2" applyAlignment="1" pivotButton="0" quotePrefix="0" xfId="0">
      <alignment vertical="top" wrapText="1"/>
    </xf>
    <xf numFmtId="0" fontId="0" fillId="9" borderId="0" applyAlignment="1" pivotButton="0" quotePrefix="0" xfId="0">
      <alignment wrapText="1"/>
    </xf>
    <xf numFmtId="0" fontId="0" fillId="0" borderId="0" applyAlignment="1" pivotButton="0" quotePrefix="0" xfId="0">
      <alignment vertical="top"/>
    </xf>
    <xf numFmtId="14" fontId="5" fillId="0" borderId="2" applyAlignment="1" pivotButton="0" quotePrefix="0" xfId="0">
      <alignment vertical="top" wrapText="1"/>
    </xf>
    <xf numFmtId="14" fontId="5" fillId="10" borderId="2" applyAlignment="1" pivotButton="0" quotePrefix="0" xfId="0">
      <alignment vertical="top" wrapText="1"/>
    </xf>
    <xf numFmtId="0" fontId="5" fillId="10" borderId="2" applyAlignment="1" pivotButton="0" quotePrefix="0" xfId="0">
      <alignment vertical="top" wrapText="1"/>
    </xf>
    <xf numFmtId="0" fontId="0" fillId="11" borderId="0" applyAlignment="1" pivotButton="0" quotePrefix="0" xfId="0">
      <alignment vertical="top" wrapText="1"/>
    </xf>
    <xf numFmtId="0" fontId="5" fillId="0" borderId="1" applyAlignment="1" pivotButton="0" quotePrefix="0" xfId="0">
      <alignment vertical="top" wrapText="1"/>
    </xf>
    <xf numFmtId="0" fontId="5" fillId="7" borderId="1" applyAlignment="1" pivotButton="0" quotePrefix="0" xfId="0">
      <alignment vertical="top" wrapText="1"/>
    </xf>
    <xf numFmtId="0" fontId="5" fillId="7" borderId="3" applyAlignment="1" pivotButton="0" quotePrefix="0" xfId="0">
      <alignment vertical="top" wrapText="1"/>
    </xf>
    <xf numFmtId="0" fontId="5" fillId="0" borderId="3" applyAlignment="1" pivotButton="0" quotePrefix="0" xfId="0">
      <alignment vertical="top" wrapText="1"/>
    </xf>
    <xf numFmtId="0" fontId="5" fillId="0" borderId="2" applyAlignment="1" pivotButton="0" quotePrefix="0" xfId="0">
      <alignment vertical="top" wrapText="1"/>
    </xf>
    <xf numFmtId="14" fontId="5" fillId="0" borderId="0" applyAlignment="1" pivotButton="0" quotePrefix="0" xfId="0">
      <alignment vertical="top" wrapText="1"/>
    </xf>
    <xf numFmtId="0" fontId="4" fillId="6" borderId="0" applyAlignment="1" pivotButton="0" quotePrefix="0" xfId="0">
      <alignment vertical="top" wrapText="1"/>
    </xf>
    <xf numFmtId="0" fontId="6" fillId="8" borderId="0" applyAlignment="1" pivotButton="0" quotePrefix="0" xfId="0">
      <alignment vertical="center" wrapText="1"/>
    </xf>
    <xf numFmtId="0" fontId="0" fillId="0" borderId="0" pivotButton="0" quotePrefix="0" xfId="0"/>
    <xf numFmtId="0" fontId="1" fillId="3" borderId="0" applyAlignment="1" pivotButton="0" quotePrefix="0" xfId="0">
      <alignment horizontal="left" vertical="center"/>
    </xf>
    <xf numFmtId="0" fontId="2" fillId="2" borderId="0" applyAlignment="1" pivotButton="0" quotePrefix="0" xfId="0">
      <alignment vertical="top" wrapText="1"/>
    </xf>
  </cellXfs>
  <cellStyles count="1">
    <cellStyle name="Normal" xfId="0" builtinId="0"/>
  </cellStyles>
  <dxfs count="9">
    <dxf>
      <font>
        <name val="Carlito"/>
        <strike val="0"/>
        <outline val="0"/>
        <shadow val="0"/>
        <condense val="0"/>
        <color theme="1"/>
        <extend val="0"/>
        <sz val="11"/>
        <vertAlign val="baseline"/>
      </font>
      <numFmt numFmtId="19" formatCode="dd/mm/yyyy"/>
      <fill>
        <patternFill patternType="solid">
          <fgColor theme="4" tint="0.7999816888943144"/>
          <bgColor theme="0"/>
        </patternFill>
      </fill>
      <alignment horizontal="general" vertical="top" wrapText="1"/>
      <border>
        <left/>
        <right style="thin">
          <color theme="4" tint="0.3999755851924192"/>
        </right>
        <top style="thin">
          <color theme="4" tint="0.3999755851924192"/>
        </top>
        <bottom style="thin">
          <color theme="4" tint="0.3999755851924192"/>
        </bottom>
        <vertical/>
        <horizontal/>
      </border>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alignment horizontal="general" vertical="top" wrapText="1"/>
    </dxf>
    <dxf>
      <font>
        <name val="Carlito"/>
        <b val="1"/>
        <strike val="0"/>
        <outline val="0"/>
        <shadow val="0"/>
        <condense val="0"/>
        <color rgb="FFFFFFFF"/>
        <extend val="0"/>
        <sz val="11"/>
        <vertAlign val="baseline"/>
      </font>
      <fill>
        <patternFill patternType="solid">
          <fgColor indexed="64"/>
          <bgColor rgb="FF86AC80"/>
        </patternFill>
      </fill>
      <alignment horizontal="center"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ables/table1.xml><?xml version="1.0" encoding="utf-8"?>
<table xmlns="http://schemas.openxmlformats.org/spreadsheetml/2006/main" id="1" name="Tbl_Edicoes" displayName="Tbl_Edicoes" ref="A4:J7" headerRowCount="1">
  <tableColumns count="10">
    <tableColumn id="1" name="id"/>
    <tableColumn id="2" name="titulo_pt"/>
    <tableColumn id="3" name="titulo_en"/>
    <tableColumn id="4" name="data_edicao"/>
    <tableColumn id="5" name="status_edicao_code"/>
    <tableColumn id="6" name="resumo_pt"/>
    <tableColumn id="7" name="resumo_en"/>
    <tableColumn id="8" name="publicada_em"/>
    <tableColumn id="9" name="ativo"/>
    <tableColumn id="10" name="observacoes"/>
  </tableColumns>
  <tableStyleInfo name="TableStyleMedium2" showFirstColumn="0" showLastColumn="0" showRowStripes="1" showColumnStripes="0"/>
</table>
</file>

<file path=xl/tables/table2.xml><?xml version="1.0" encoding="utf-8"?>
<table xmlns="http://schemas.openxmlformats.org/spreadsheetml/2006/main" id="2" name="Tbl_Secoes" displayName="Tbl_Secoes" ref="A4:J10" headerRowCount="1">
  <tableColumns count="10">
    <tableColumn id="1" name="id"/>
    <tableColumn id="2" name="nome_pt"/>
    <tableColumn id="3" name="nome_en"/>
    <tableColumn id="4" name="slug"/>
    <tableColumn id="5" name="tipo_item_code"/>
    <tableColumn id="6" name="filtro_orgao_sigla"/>
    <tableColumn id="7" name="exibir_na_home"/>
    <tableColumn id="8" name="ordem_home"/>
    <tableColumn id="9" name="ativo"/>
    <tableColumn id="10" name="observacoes"/>
  </tableColumns>
  <tableStyleInfo name="TableStyleMedium2" showFirstColumn="0" showLastColumn="0" showRowStripes="1" showColumnStripes="0"/>
</table>
</file>

<file path=xl/tables/table3.xml><?xml version="1.0" encoding="utf-8"?>
<table xmlns="http://schemas.openxmlformats.org/spreadsheetml/2006/main" id="3" name="Tbl_Orgaos" displayName="Tbl_Orgaos" ref="A4:G17" headerRowCount="1">
  <tableColumns count="7">
    <tableColumn id="1" name="id"/>
    <tableColumn id="2" name="sigla"/>
    <tableColumn id="3" name="tipo_orgao_code"/>
    <tableColumn id="4" name="nome_pt"/>
    <tableColumn id="5" name="nome_en"/>
    <tableColumn id="6" name="ativo"/>
    <tableColumn id="7" name="observacoes"/>
  </tableColumns>
  <tableStyleInfo name="TableStyleMedium2" showFirstColumn="0" showLastColumn="0" showRowStripes="1" showColumnStripes="0"/>
</table>
</file>

<file path=xl/tables/table4.xml><?xml version="1.0" encoding="utf-8"?>
<table xmlns="http://schemas.openxmlformats.org/spreadsheetml/2006/main" id="4" name="Tbl_Destaques" displayName="Tbl_Destaques" ref="A4:L19" headerRowCount="1">
  <tableColumns count="12">
    <tableColumn id="1" name="id"/>
    <tableColumn id="2" name="edicao_id"/>
    <tableColumn id="3" name="secao_slug"/>
    <tableColumn id="4" name="titulo_pt"/>
    <tableColumn id="5" name="titulo_en"/>
    <tableColumn id="6" name="status"/>
    <tableColumn id="7" name="comentario_pt"/>
    <tableColumn id="8" name="comentario_en"/>
    <tableColumn id="9" name="link_referencia"/>
    <tableColumn id="10" name="ordem"/>
    <tableColumn id="11" name="ativo"/>
    <tableColumn id="12" name="tags"/>
  </tableColumns>
  <tableStyleInfo name="TableStyleMedium2" showFirstColumn="0" showLastColumn="0" showRowStripes="1" showColumnStripes="0"/>
</table>
</file>

<file path=xl/tables/table5.xml><?xml version="1.0" encoding="utf-8"?>
<table xmlns="http://schemas.openxmlformats.org/spreadsheetml/2006/main" id="5" name="Tbl_Pendencias" displayName="Tbl_Pendencias" ref="A4:M59" headerRowCount="1">
  <tableColumns count="13">
    <tableColumn id="1" name="id"/>
    <tableColumn id="2" name="edicao_id"/>
    <tableColumn id="3" name="secao_slug"/>
    <tableColumn id="4" name="orgao_sigla"/>
    <tableColumn id="5" name="topico_pt"/>
    <tableColumn id="6" name="topico_en"/>
    <tableColumn id="7" name="status_regulatorio_code"/>
    <tableColumn id="8" name="comentario_pt"/>
    <tableColumn id="9" name="comentario_en"/>
    <tableColumn id="10" name="link_referencia"/>
    <tableColumn id="11" name="ordem"/>
    <tableColumn id="12" name="ativo"/>
    <tableColumn id="13" name="tags"/>
  </tableColumns>
  <tableStyleInfo name="TableStyleMedium2" showFirstColumn="0" showLastColumn="0" showRowStripes="1" showColumnStripes="0"/>
</table>
</file>

<file path=xl/tables/table6.xml><?xml version="1.0" encoding="utf-8"?>
<table xmlns="http://schemas.openxmlformats.org/spreadsheetml/2006/main" id="6" name="Tbl_Consultas" displayName="Tbl_Consultas" ref="A4:P12" headerRowCount="1">
  <tableColumns count="16">
    <tableColumn id="1" name="id"/>
    <tableColumn id="2" name="edicao_id"/>
    <tableColumn id="3" name="secao_slug"/>
    <tableColumn id="4" name="orgao_sigla"/>
    <tableColumn id="5" name="tipo_consulta_code"/>
    <tableColumn id="6" name="status_consulta_code"/>
    <tableColumn id="7" name="numero"/>
    <tableColumn id="8" name="titulo_pt"/>
    <tableColumn id="9" name="titulo_en"/>
    <tableColumn id="10" name="prazo"/>
    <tableColumn id="11" name="comentario_pt"/>
    <tableColumn id="12" name="comentario_en"/>
    <tableColumn id="13" name="link_referencia"/>
    <tableColumn id="14" name="ordem"/>
    <tableColumn id="15" name="ativo"/>
    <tableColumn id="16" name="tags"/>
  </tableColumns>
  <tableStyleInfo name="TableStyleMedium2" showFirstColumn="0" showLastColumn="0" showRowStripes="1" showColumnStripes="0"/>
</table>
</file>

<file path=xl/tables/table7.xml><?xml version="1.0" encoding="utf-8"?>
<table xmlns="http://schemas.openxmlformats.org/spreadsheetml/2006/main" id="7" name="Tbl_Leiloes" displayName="Tbl_Leiloes" ref="A4:Q19" headerRowCount="1">
  <tableColumns count="17">
    <tableColumn id="1" name="id"/>
    <tableColumn id="2" name="edicao_id"/>
    <tableColumn id="3" name="secao_slug"/>
    <tableColumn id="4" name="orgao_sigla"/>
    <tableColumn id="5" name="titulo_pt"/>
    <tableColumn id="6" name="titulo_en"/>
    <tableColumn id="7" name="data_estimada_pt"/>
    <tableColumn id="8" name="data_estimada_en"/>
    <tableColumn id="9" name="status_leilao_code"/>
    <tableColumn id="10" name="comentario_pt"/>
    <tableColumn id="11" name="comentario_en"/>
    <tableColumn id="12" name="proximo_passo_pt"/>
    <tableColumn id="13" name="proximo_passo_en"/>
    <tableColumn id="14" name="link_referencia"/>
    <tableColumn id="15" name="ordem"/>
    <tableColumn id="16" name="ativo"/>
    <tableColumn id="17" name="tags"/>
  </tableColumns>
  <tableStyleInfo name="TableStyleMedium2" showFirstColumn="0" showLastColumn="0" showRowStripes="1" showColumnStripes="0"/>
</table>
</file>

<file path=xl/tables/table8.xml><?xml version="1.0" encoding="utf-8"?>
<table xmlns="http://schemas.openxmlformats.org/spreadsheetml/2006/main" id="8" name="Tbl_Leiloes_Comentarios" displayName="Tbl_Leiloes_Comentarios" ref="A4:F7" headerRowCount="1">
  <tableColumns count="6">
    <tableColumn id="1" name="id"/>
    <tableColumn id="2" name="edicao_id"/>
    <tableColumn id="3" name="comentario_geral_pt"/>
    <tableColumn id="4" name="comentario_geral_en"/>
    <tableColumn id="5" name="ativo"/>
    <tableColumn id="6" name="observacoes"/>
  </tableColumns>
  <tableStyleInfo name="TableStyleMedium2" showFirstColumn="0" showLastColumn="0" showRowStripes="1" showColumnStripes="0"/>
</table>
</file>

<file path=xl/tables/table9.xml><?xml version="1.0" encoding="utf-8"?>
<table xmlns="http://schemas.openxmlformats.org/spreadsheetml/2006/main" id="9" name="Tbl_Agenda2" displayName="Tbl_Agenda2" ref="A3:K17" headerRowCount="1">
  <tableColumns count="11">
    <tableColumn id="1" name="id"/>
    <tableColumn id="2" name="edicao_id"/>
    <tableColumn id="3" name="secao_slug"/>
    <tableColumn id="4" name="orgao_sigla"/>
    <tableColumn id="5" name="tipo_evento_code"/>
    <tableColumn id="6" name="tipo_agenda_code"/>
    <tableColumn id="7" name="recorrente"/>
    <tableColumn id="8" name="frequencia_code"/>
    <tableColumn id="9" name="dia_semana_code"/>
    <tableColumn id="10" name="ordem_dia_semana"/>
    <tableColumn id="11" name="data_inicio"/>
  </tableColumns>
  <tableStyleInfo name="TableStyleMedium2" showFirstColumn="0" showLastColumn="0" showRowStripes="1" showColumnStripes="0"/>
</table>
</file>

<file path=xl/tables/table10.xml><?xml version="1.0" encoding="utf-8"?>
<table xmlns="http://schemas.openxmlformats.org/spreadsheetml/2006/main" id="10" name="Tabela19" displayName="Tabela19" ref="L3:T17" headerRowCount="1" totalsRowShown="0" headerRowDxfId="8" dataDxfId="7">
  <tableColumns count="9">
    <tableColumn id="1" name="data_fim"/>
    <tableColumn id="2" name="datas_exibicao"/>
    <tableColumn id="3" name="titulo_pt" dataDxfId="6"/>
    <tableColumn id="4" name="titulo_en" dataDxfId="5"/>
    <tableColumn id="5" name="descricao_pt" dataDxfId="4"/>
    <tableColumn id="9" name="descricao_en" dataDxfId="0"/>
    <tableColumn id="6" name="link_referencia" dataDxfId="3"/>
    <tableColumn id="7" name="ordem" dataDxfId="2"/>
    <tableColumn id="8" name="ativo" dataDxfId="1"/>
  </tableColumns>
  <tableStyleInfo name="TableStyleMedium2" showFirstColumn="0" showLastColumn="0" showRowStripes="1" showColumnStripes="0"/>
</table>
</file>

<file path=xl/tables/table11.xml><?xml version="1.0" encoding="utf-8"?>
<table xmlns="http://schemas.openxmlformats.org/spreadsheetml/2006/main" id="11" name="Tbl_Empresas" displayName="Tbl_Empresas" ref="A4:G7" headerRowCount="1">
  <tableColumns count="7">
    <tableColumn id="1" name="id"/>
    <tableColumn id="2" name="nome"/>
    <tableColumn id="3" name="cnpj"/>
    <tableColumn id="4" name="logo_url"/>
    <tableColumn id="5" name="plano_code"/>
    <tableColumn id="6" name="ativo"/>
    <tableColumn id="7" name="observacoes"/>
  </tableColumns>
  <tableStyleInfo name="TableStyleMedium2" showFirstColumn="0" showLastColumn="0" showRowStripes="1" showColumnStripes="0"/>
</table>
</file>

<file path=xl/tables/table12.xml><?xml version="1.0" encoding="utf-8"?>
<table xmlns="http://schemas.openxmlformats.org/spreadsheetml/2006/main" id="12" name="Tbl_Users" displayName="Tbl_Users" ref="A4:I6" headerRowCount="1">
  <tableColumns count="9">
    <tableColumn id="1" name="id"/>
    <tableColumn id="2" name="nome"/>
    <tableColumn id="3" name="email"/>
    <tableColumn id="4" name="empresa_id"/>
    <tableColumn id="5" name="perfil_code"/>
    <tableColumn id="6" name="plano_code"/>
    <tableColumn id="7" name="idioma_padrao"/>
    <tableColumn id="8" name="ativo"/>
    <tableColumn id="9" name="observacoes"/>
  </tableColumns>
  <tableStyleInfo name="TableStyleMedium2" showFirstColumn="0" showLastColumn="0" showRowStripes="1" showColumnStripes="0"/>
</table>
</file>

<file path=xl/tables/table13.xml><?xml version="1.0" encoding="utf-8"?>
<table xmlns="http://schemas.openxmlformats.org/spreadsheetml/2006/main" id="13" name="Tbl_Tags" displayName="Tbl_Tags" ref="A4:F20" headerRowCount="1">
  <tableColumns count="6">
    <tableColumn id="1" name="id"/>
    <tableColumn id="2" name="nome_pt"/>
    <tableColumn id="3" name="nome_en"/>
    <tableColumn id="4" name="slug"/>
    <tableColumn id="5" name="ativo"/>
    <tableColumn id="6" name="observacoes"/>
  </tableColumns>
  <tableStyleInfo name="TableStyleMedium2" showFirstColumn="0" showLastColumn="0" showRowStripes="1" showColumnStripes="0"/>
</table>
</file>

<file path=xl/tables/table14.xml><?xml version="1.0" encoding="utf-8"?>
<table xmlns="http://schemas.openxmlformats.org/spreadsheetml/2006/main" id="14" name="Tbl_Listas" displayName="Tbl_Listas" ref="A4:AI12" headerRowCount="1">
  <tableColumns count="35">
    <tableColumn id="1" name="perfil_code"/>
    <tableColumn id="2" name="label_pt"/>
    <tableColumn id="3" name="label_en"/>
    <tableColumn id="4" name="Coluna1"/>
    <tableColumn id="5" name="idioma_padrao"/>
    <tableColumn id="6" name="label_pt2"/>
    <tableColumn id="7" name="label_en3"/>
    <tableColumn id="8" name="Coluna4"/>
    <tableColumn id="9" name="status_edicao_code"/>
    <tableColumn id="10" name="label_pt5"/>
    <tableColumn id="11" name="label_en6"/>
    <tableColumn id="12" name="Coluna7"/>
    <tableColumn id="13" name="status_regulatorio_code"/>
    <tableColumn id="14" name="label_pt8"/>
    <tableColumn id="15" name="label_en9"/>
    <tableColumn id="16" name="Coluna10"/>
    <tableColumn id="17" name="tipo_consulta_code"/>
    <tableColumn id="18" name="label_pt11"/>
    <tableColumn id="19" name="label_en12"/>
    <tableColumn id="20" name="Coluna13"/>
    <tableColumn id="21" name="status_consulta_code"/>
    <tableColumn id="22" name="label_pt14"/>
    <tableColumn id="23" name="label_en15"/>
    <tableColumn id="24" name="Coluna16"/>
    <tableColumn id="25" name="status_leilao_code"/>
    <tableColumn id="26" name="label_pt17"/>
    <tableColumn id="27" name="label_en18"/>
    <tableColumn id="28" name="Coluna19"/>
    <tableColumn id="29" name="tipo_evento_code"/>
    <tableColumn id="30" name="label_pt20"/>
    <tableColumn id="31" name="label_en21"/>
    <tableColumn id="32" name="Coluna22"/>
    <tableColumn id="33" name="tipo_orgao_code"/>
    <tableColumn id="34" name="label_pt23"/>
    <tableColumn id="35" name="label_en24"/>
  </tableColumns>
  <tableStyleInfo name="TableStyleMedium2" showFirstColumn="0" showLastColumn="0" showRowStripes="1" showColumnStripes="0"/>
</table>
</file>

<file path=xl/tables/table15.xml><?xml version="1.0" encoding="utf-8"?>
<table xmlns="http://schemas.openxmlformats.org/spreadsheetml/2006/main" id="15" name="Tbl_Validacao" displayName="Tbl_Validacao" ref="A4:C12" headerRowCount="1">
  <tableColumns count="3">
    <tableColumn id="1" name="Checagem"/>
    <tableColumn id="2" name="Fórmula/critério"/>
    <tableColumn id="3" name="Resultado esperado"/>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7.xml.rels><Relationships xmlns="http://schemas.openxmlformats.org/package/2006/relationships"><Relationship Type="http://schemas.openxmlformats.org/officeDocument/2006/relationships/table" Target="/xl/tables/table5.xml" Id="rId1"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 Type="http://schemas.openxmlformats.org/officeDocument/2006/relationships/table" Target="/xl/tables/table10.xml" Id="rId2"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_rels/sheet13.xml.rels><Relationships xmlns="http://schemas.openxmlformats.org/package/2006/relationships"><Relationship Type="http://schemas.openxmlformats.org/officeDocument/2006/relationships/table" Target="/xl/tables/table12.xml" Id="rId1" /></Relationships>
</file>

<file path=xl/worksheets/_rels/sheet14.xml.rels><Relationships xmlns="http://schemas.openxmlformats.org/package/2006/relationships"><Relationship Type="http://schemas.openxmlformats.org/officeDocument/2006/relationships/table" Target="/xl/tables/table13.xml" Id="rId1" /></Relationships>
</file>

<file path=xl/worksheets/_rels/sheet15.xml.rels><Relationships xmlns="http://schemas.openxmlformats.org/package/2006/relationships"><Relationship Type="http://schemas.openxmlformats.org/officeDocument/2006/relationships/table" Target="/xl/tables/table14.xml" Id="rId1" /></Relationships>
</file>

<file path=xl/worksheets/_rels/sheet16.xml.rels><Relationships xmlns="http://schemas.openxmlformats.org/package/2006/relationships"><Relationship Type="http://schemas.openxmlformats.org/officeDocument/2006/relationships/table" Target="/xl/tables/table15.xml" Id="rId1" /></Relationships>
</file>

<file path=xl/worksheets/sheet1.xml><?xml version="1.0" encoding="utf-8"?>
<worksheet xmlns="http://schemas.openxmlformats.org/spreadsheetml/2006/main">
  <sheetPr>
    <outlinePr summaryBelow="1" summaryRight="1"/>
    <pageSetUpPr/>
  </sheetPr>
  <dimension ref="A1:J7"/>
  <sheetViews>
    <sheetView workbookViewId="0">
      <selection activeCell="G7" sqref="G7"/>
    </sheetView>
  </sheetViews>
  <sheetFormatPr baseColWidth="8" defaultColWidth="8.8984375" defaultRowHeight="13.8"/>
  <cols>
    <col width="10" customWidth="1" style="30" min="1" max="1"/>
    <col width="36" customWidth="1" style="30" min="2" max="3"/>
    <col width="18" customWidth="1" style="30" min="4" max="4"/>
    <col width="21.09765625" customWidth="1" style="30" min="5" max="5"/>
    <col width="46" customWidth="1" style="30" min="6" max="7"/>
    <col width="18" customWidth="1" style="30" min="8" max="8"/>
    <col width="12.5" bestFit="1" customWidth="1" style="30" min="9" max="9"/>
    <col width="46" customWidth="1" style="30" min="10" max="10"/>
  </cols>
  <sheetData>
    <row r="1" ht="26.1" customHeight="1" s="30">
      <c r="A1" s="31" t="inlineStr">
        <is>
          <t>01_edicoes</t>
        </is>
      </c>
    </row>
    <row r="2" ht="30" customHeight="1" s="30">
      <c r="A2" s="32" t="inlineStr">
        <is>
          <t>Cada linha representa uma edição semanal do RegDesk.</t>
        </is>
      </c>
    </row>
    <row r="4" ht="27.9" customHeight="1" s="30">
      <c r="A4" s="12" t="inlineStr">
        <is>
          <t>id</t>
        </is>
      </c>
      <c r="B4" s="12" t="inlineStr">
        <is>
          <t>titulo_pt</t>
        </is>
      </c>
      <c r="C4" s="12" t="inlineStr">
        <is>
          <t>titulo_en</t>
        </is>
      </c>
      <c r="D4" s="12" t="inlineStr">
        <is>
          <t>data_edicao</t>
        </is>
      </c>
      <c r="E4" s="12" t="inlineStr">
        <is>
          <t>status_edicao_code</t>
        </is>
      </c>
      <c r="F4" s="12" t="inlineStr">
        <is>
          <t>resumo_pt</t>
        </is>
      </c>
      <c r="G4" s="12" t="inlineStr">
        <is>
          <t>resumo_en</t>
        </is>
      </c>
      <c r="H4" s="12" t="inlineStr">
        <is>
          <t>publicada_em</t>
        </is>
      </c>
      <c r="I4" s="12" t="inlineStr">
        <is>
          <t>ativo</t>
        </is>
      </c>
      <c r="J4" s="12" t="inlineStr">
        <is>
          <t>observacoes</t>
        </is>
      </c>
    </row>
    <row r="5" ht="41.4" customHeight="1" s="30">
      <c r="A5" s="2" t="n">
        <v>1</v>
      </c>
      <c r="B5" s="2" t="inlineStr">
        <is>
          <t>Report Semanal — 19/06/2026</t>
        </is>
      </c>
      <c r="C5" s="2" t="inlineStr">
        <is>
          <t>Weekly Report — Jun 19th, 2026</t>
        </is>
      </c>
      <c r="D5" s="3" t="n">
        <v>46192</v>
      </c>
      <c r="E5" s="2" t="inlineStr">
        <is>
          <t>published</t>
        </is>
      </c>
      <c r="F5" s="2" t="inlineStr">
        <is>
          <t>Edição semanal com destaques sobre LRCAP, curtailment, mercado livre, pendências ANEEL/MME, consultas públicas e leilões.</t>
        </is>
      </c>
      <c r="G5" s="2" t="inlineStr">
        <is>
          <t>Weekly edition with highlights on LRCAP, curtailment, free market instability, ANEEL/MME regulatory topics, public consultations and auctions.</t>
        </is>
      </c>
      <c r="H5" s="3" t="n">
        <v>46192.375</v>
      </c>
      <c r="I5" s="2" t="inlineStr">
        <is>
          <t>TRUE</t>
        </is>
      </c>
      <c r="J5" s="2" t="n"/>
    </row>
    <row r="6" ht="41.4" customHeight="1" s="30">
      <c r="A6" s="2" t="n">
        <v>2</v>
      </c>
      <c r="B6" s="2" t="inlineStr">
        <is>
          <t>Report Semanal — 26/06/2026</t>
        </is>
      </c>
      <c r="C6" s="2" t="inlineStr">
        <is>
          <t>Weekly Report — Jun 26th, 2026</t>
        </is>
      </c>
      <c r="D6" s="3" t="n">
        <v>46199</v>
      </c>
      <c r="E6" s="2" t="inlineStr">
        <is>
          <t>published</t>
        </is>
      </c>
      <c r="F6" s="2" t="inlineStr">
        <is>
          <t>Edição semanal com destaques sobre BESS, curtailment, autoprodução, pauta ANEEL, pendências, consultas e leilões.</t>
        </is>
      </c>
      <c r="G6" s="2" t="inlineStr">
        <is>
          <t>Weekly edition with highlights on BESS, curtailment, self-generation charges, ANEEL agenda, regulatory topics, consultations and auctions.</t>
        </is>
      </c>
      <c r="H6" s="3" t="n">
        <v>46199.375</v>
      </c>
      <c r="I6" s="2" t="inlineStr">
        <is>
          <t>TRUE</t>
        </is>
      </c>
      <c r="J6" s="2" t="n"/>
    </row>
    <row r="7" ht="55.2" customHeight="1" s="30">
      <c r="A7" s="2" t="n">
        <v>3</v>
      </c>
      <c r="B7" s="2" t="inlineStr">
        <is>
          <t>Report Semanal — 03/07/2026</t>
        </is>
      </c>
      <c r="C7" s="2" t="inlineStr">
        <is>
          <t>Weekly Report — Jul 3rd, 2026</t>
        </is>
      </c>
      <c r="D7" s="3" t="n">
        <v>46206</v>
      </c>
      <c r="E7" s="2" t="inlineStr">
        <is>
          <t>published</t>
        </is>
      </c>
      <c r="F7" s="2" t="inlineStr">
        <is>
          <t>Edição semanal com destaques sobre mercado livre, LRCAP, autoprodução, curtailment, reunião do CMSE, pauta ANEEL, pendências, consultas e leilões.</t>
        </is>
      </c>
      <c r="G7" s="2" t="inlineStr">
        <is>
          <t>Weekly edition with highlights on the free market, LRCAP, self-generation, curtailment, CMSE meeting, ANEEL agenda, regulatory topics, consultations and auctions.</t>
        </is>
      </c>
      <c r="H7" s="3" t="n">
        <v>46206.375</v>
      </c>
      <c r="I7" s="2" t="inlineStr">
        <is>
          <t>TRUE</t>
        </is>
      </c>
      <c r="J7" s="2" t="n"/>
    </row>
  </sheetData>
  <mergeCells count="2">
    <mergeCell ref="A1:J1"/>
    <mergeCell ref="A2:J2"/>
  </mergeCells>
  <dataValidations count="2">
    <dataValidation sqref="E5:E104" showDropDown="0" showInputMessage="0" showErrorMessage="0" allowBlank="0" type="list">
      <formula1>"draft,published,archived"</formula1>
    </dataValidation>
    <dataValidation sqref="I5:I104" showDropDown="0" showInputMessage="0" showErrorMessage="0" allowBlank="0" type="list">
      <formula1>"TRUE,FALSE"</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J12"/>
  <sheetViews>
    <sheetView topLeftCell="C1" workbookViewId="0">
      <selection activeCell="G15" sqref="G15"/>
    </sheetView>
  </sheetViews>
  <sheetFormatPr baseColWidth="8" defaultColWidth="8.8984375" defaultRowHeight="13.8"/>
  <cols>
    <col width="10" customWidth="1" style="30" min="1" max="1"/>
    <col width="18" customWidth="1" style="30" min="2" max="8"/>
    <col width="10" customWidth="1" style="30" min="9" max="9"/>
    <col width="47.5" customWidth="1" style="30" min="10" max="10"/>
  </cols>
  <sheetData>
    <row r="1" ht="26.1" customHeight="1" s="30">
      <c r="A1" s="31" t="inlineStr">
        <is>
          <t>02_secoes</t>
        </is>
      </c>
    </row>
    <row r="2" ht="30" customHeight="1" s="30">
      <c r="A2" s="32" t="inlineStr">
        <is>
          <t>Controla as abas do portal e os blocos exibidos na Home.</t>
        </is>
      </c>
    </row>
    <row r="4" ht="27.9" customHeight="1" s="30">
      <c r="A4" s="12" t="inlineStr">
        <is>
          <t>id</t>
        </is>
      </c>
      <c r="B4" s="12" t="inlineStr">
        <is>
          <t>nome_pt</t>
        </is>
      </c>
      <c r="C4" s="12" t="inlineStr">
        <is>
          <t>nome_en</t>
        </is>
      </c>
      <c r="D4" s="12" t="inlineStr">
        <is>
          <t>slug</t>
        </is>
      </c>
      <c r="E4" s="12" t="inlineStr">
        <is>
          <t>tipo_item_code</t>
        </is>
      </c>
      <c r="F4" s="12" t="inlineStr">
        <is>
          <t>filtro_orgao_sigla</t>
        </is>
      </c>
      <c r="G4" s="12" t="inlineStr">
        <is>
          <t>exibir_na_home</t>
        </is>
      </c>
      <c r="H4" s="12" t="inlineStr">
        <is>
          <t>ordem_home</t>
        </is>
      </c>
      <c r="I4" s="12" t="inlineStr">
        <is>
          <t>ativo</t>
        </is>
      </c>
      <c r="J4" s="12" t="inlineStr">
        <is>
          <t>observacoes</t>
        </is>
      </c>
    </row>
    <row r="5" ht="27.6" customHeight="1" s="30">
      <c r="A5" s="2" t="n">
        <v>1</v>
      </c>
      <c r="B5" s="2" t="inlineStr">
        <is>
          <t>Destaques da Semana</t>
        </is>
      </c>
      <c r="C5" s="2" t="inlineStr">
        <is>
          <t>Highlights of the Week</t>
        </is>
      </c>
      <c r="D5" s="2" t="inlineStr">
        <is>
          <t>destaques-da-semana</t>
        </is>
      </c>
      <c r="E5" s="2" t="inlineStr">
        <is>
          <t>update</t>
        </is>
      </c>
      <c r="F5" s="2" t="n"/>
      <c r="G5" s="2" t="inlineStr">
        <is>
          <t>TRUE</t>
        </is>
      </c>
      <c r="H5" s="2" t="n">
        <v>1</v>
      </c>
      <c r="I5" s="2" t="inlineStr">
        <is>
          <t>TRUE</t>
        </is>
      </c>
      <c r="J5" s="2" t="inlineStr">
        <is>
          <t>Home mostra os primeiros itens por ordem</t>
        </is>
      </c>
    </row>
    <row r="6" ht="27.6" customHeight="1" s="30">
      <c r="A6" s="2" t="n">
        <v>7</v>
      </c>
      <c r="B6" s="2" t="inlineStr">
        <is>
          <t>Pauta ANEEL</t>
        </is>
      </c>
      <c r="C6" s="2" t="inlineStr">
        <is>
          <t>Agenda of ANEEL’s</t>
        </is>
      </c>
      <c r="D6" s="2" t="inlineStr">
        <is>
          <t>pauta-aneel</t>
        </is>
      </c>
      <c r="E6" s="2" t="inlineStr">
        <is>
          <t>aneel_agenda</t>
        </is>
      </c>
      <c r="F6" s="2" t="inlineStr">
        <is>
          <t>ANEEL</t>
        </is>
      </c>
      <c r="G6" s="2" t="inlineStr">
        <is>
          <t>TRUE</t>
        </is>
      </c>
      <c r="H6" s="2" t="n">
        <v>2</v>
      </c>
      <c r="I6" s="2" t="inlineStr">
        <is>
          <t>TRUE</t>
        </is>
      </c>
      <c r="J6" s="2" t="inlineStr">
        <is>
          <t>Itens de pauta das reuniões/circuitos da Diretoria da ANEEL citados na edição</t>
        </is>
      </c>
    </row>
    <row r="7" ht="27.6" customHeight="1" s="30">
      <c r="A7" s="2" t="n">
        <v>8</v>
      </c>
      <c r="B7" s="2" t="inlineStr">
        <is>
          <t>Normativos Publicados</t>
        </is>
      </c>
      <c r="C7" s="2" t="inlineStr">
        <is>
          <t>Published Regulatory Acts</t>
        </is>
      </c>
      <c r="D7" s="2" t="inlineStr">
        <is>
          <t>normativos-publicados</t>
        </is>
      </c>
      <c r="E7" s="2" t="inlineStr">
        <is>
          <t>published_regulatory_act</t>
        </is>
      </c>
      <c r="F7" s="2" t="n"/>
      <c r="G7" s="2" t="inlineStr">
        <is>
          <t>TRUE</t>
        </is>
      </c>
      <c r="H7" s="2" t="n">
        <v>3</v>
      </c>
      <c r="I7" s="2" t="inlineStr">
        <is>
          <t>TRUE</t>
        </is>
      </c>
      <c r="J7" s="2" t="inlineStr">
        <is>
          <t>Normativos, atos e documentos regulatórios publicados ou aprovados citados na edição</t>
        </is>
      </c>
    </row>
    <row r="8" ht="27.6" customHeight="1" s="30">
      <c r="A8" s="2" t="n">
        <v>2</v>
      </c>
      <c r="B8" s="2" t="inlineStr">
        <is>
          <t>Pendências Regulatórias: ANEEL</t>
        </is>
      </c>
      <c r="C8" s="2" t="inlineStr">
        <is>
          <t>Pending Regulatory Topics: ANEEL</t>
        </is>
      </c>
      <c r="D8" s="2" t="inlineStr">
        <is>
          <t>pendencias-regulatorias-aneel</t>
        </is>
      </c>
      <c r="E8" s="2" t="inlineStr">
        <is>
          <t>regulatory_topic</t>
        </is>
      </c>
      <c r="F8" s="2" t="inlineStr">
        <is>
          <t>ANEEL</t>
        </is>
      </c>
      <c r="G8" s="2" t="inlineStr">
        <is>
          <t>TRUE</t>
        </is>
      </c>
      <c r="H8" s="2" t="n">
        <v>4</v>
      </c>
      <c r="I8" s="2" t="inlineStr">
        <is>
          <t>TRUE</t>
        </is>
      </c>
      <c r="J8" s="2" t="inlineStr">
        <is>
          <t>Filtrar orgao_sigla = ANEEL</t>
        </is>
      </c>
    </row>
    <row r="9" ht="27.6" customHeight="1" s="30">
      <c r="A9" s="2" t="n">
        <v>3</v>
      </c>
      <c r="B9" s="2" t="inlineStr">
        <is>
          <t>Pendências Regulatórias: MME</t>
        </is>
      </c>
      <c r="C9" s="2" t="inlineStr">
        <is>
          <t>Pending Regulatory Topics: MME</t>
        </is>
      </c>
      <c r="D9" s="2" t="inlineStr">
        <is>
          <t>pendencias-regulatorias-mme</t>
        </is>
      </c>
      <c r="E9" s="2" t="inlineStr">
        <is>
          <t>regulatory_topic</t>
        </is>
      </c>
      <c r="F9" s="2" t="inlineStr">
        <is>
          <t>MME</t>
        </is>
      </c>
      <c r="G9" s="2" t="inlineStr">
        <is>
          <t>TRUE</t>
        </is>
      </c>
      <c r="H9" s="2" t="n">
        <v>5</v>
      </c>
      <c r="I9" s="2" t="inlineStr">
        <is>
          <t>TRUE</t>
        </is>
      </c>
      <c r="J9" s="2" t="inlineStr">
        <is>
          <t>Filtrar orgao_sigla = MME</t>
        </is>
      </c>
    </row>
    <row r="10" ht="27.6" customHeight="1" s="30">
      <c r="A10" s="2" t="n">
        <v>4</v>
      </c>
      <c r="B10" s="2" t="inlineStr">
        <is>
          <t>Temas abertos para participação pública</t>
        </is>
      </c>
      <c r="C10" s="2" t="inlineStr">
        <is>
          <t>Topics open for Public Participation</t>
        </is>
      </c>
      <c r="D10" s="2" t="inlineStr">
        <is>
          <t>temas-abertos-participacao-publica</t>
        </is>
      </c>
      <c r="E10" s="2" t="inlineStr">
        <is>
          <t>public_consultation</t>
        </is>
      </c>
      <c r="F10" s="2" t="n"/>
      <c r="G10" s="2" t="inlineStr">
        <is>
          <t>TRUE</t>
        </is>
      </c>
      <c r="H10" s="2" t="n">
        <v>6</v>
      </c>
      <c r="I10" s="2" t="inlineStr">
        <is>
          <t>TRUE</t>
        </is>
      </c>
      <c r="J10" s="2" t="inlineStr">
        <is>
          <t>Inclui CP, TS, CE do ONS etc.</t>
        </is>
      </c>
    </row>
    <row r="11" ht="27.6" customHeight="1" s="30">
      <c r="A11" s="23" t="n">
        <v>5</v>
      </c>
      <c r="B11" s="24" t="inlineStr">
        <is>
          <t>Cronograma dos Próximos Leilões</t>
        </is>
      </c>
      <c r="C11" s="24" t="inlineStr">
        <is>
          <t>Schedule of Next Auctions</t>
        </is>
      </c>
      <c r="D11" s="24" t="inlineStr">
        <is>
          <t>cronograma-proximos-leiloes</t>
        </is>
      </c>
      <c r="E11" s="24" t="inlineStr">
        <is>
          <t>auction</t>
        </is>
      </c>
      <c r="F11" s="24" t="n"/>
      <c r="G11" s="24" t="inlineStr">
        <is>
          <t>TRUE</t>
        </is>
      </c>
      <c r="H11" s="24" t="n">
        <v>7</v>
      </c>
      <c r="I11" s="24" t="inlineStr">
        <is>
          <t>TRUE</t>
        </is>
      </c>
      <c r="J11" s="15" t="inlineStr">
        <is>
          <t>Tabela de leilões + comentários gerais</t>
        </is>
      </c>
    </row>
    <row r="12" ht="27.6" customHeight="1" s="30">
      <c r="A12" s="22" t="n">
        <v>6</v>
      </c>
      <c r="B12" s="25" t="inlineStr">
        <is>
          <t>Agenda Institucional</t>
        </is>
      </c>
      <c r="C12" s="25" t="inlineStr">
        <is>
          <t>Governmental Bodies' Agenda</t>
        </is>
      </c>
      <c r="D12" s="25" t="inlineStr">
        <is>
          <t>agenda-institucional</t>
        </is>
      </c>
      <c r="E12" s="25" t="inlineStr">
        <is>
          <t>agenda_event</t>
        </is>
      </c>
      <c r="F12" s="25" t="n"/>
      <c r="G12" s="25" t="inlineStr">
        <is>
          <t>TRUE</t>
        </is>
      </c>
      <c r="H12" s="25" t="n">
        <v>8</v>
      </c>
      <c r="I12" s="25" t="inlineStr">
        <is>
          <t>TRUE</t>
        </is>
      </c>
      <c r="J12" s="26" t="inlineStr">
        <is>
          <t>Eventos institucionais e regulatórios</t>
        </is>
      </c>
    </row>
  </sheetData>
  <mergeCells count="2">
    <mergeCell ref="A1:J1"/>
    <mergeCell ref="A2:J2"/>
  </mergeCells>
  <dataValidations count="2">
    <dataValidation sqref="E5:E104" showDropDown="0" showInputMessage="0" showErrorMessage="0" allowBlank="0" type="list">
      <formula1>"update,regulatory_topic,public_consultation,auction,agenda_event"</formula1>
    </dataValidation>
    <dataValidation sqref="G5:G13 G15:G104 I5:I104" showDropDown="0" showInputMessage="0" showErrorMessage="0" allowBlank="0" type="list">
      <formula1>"TRUE,FALSE"</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topLeftCell="A4" zoomScale="84" workbookViewId="0">
      <selection activeCell="F5" sqref="F5"/>
    </sheetView>
  </sheetViews>
  <sheetFormatPr baseColWidth="8" defaultColWidth="8.8984375" defaultRowHeight="13.8"/>
  <cols>
    <col width="10" customWidth="1" style="30" min="1" max="1"/>
    <col width="18" customWidth="1" style="30" min="2" max="3"/>
    <col width="25.19921875" bestFit="1" customWidth="1" style="30" min="4" max="4"/>
    <col width="22" bestFit="1" customWidth="1" style="30" min="5" max="5"/>
    <col width="12.5" bestFit="1" customWidth="1" style="30" min="6" max="6"/>
    <col width="46" customWidth="1" style="30" min="7" max="7"/>
  </cols>
  <sheetData>
    <row r="1" ht="26.1" customHeight="1" s="30">
      <c r="A1" s="31" t="inlineStr">
        <is>
          <t>03_orgaos</t>
        </is>
      </c>
    </row>
    <row r="2" ht="30" customHeight="1" s="30">
      <c r="A2" s="32" t="inlineStr">
        <is>
          <t>Padroniza órgãos, instituições e fontes citadas no sistema.</t>
        </is>
      </c>
    </row>
    <row r="4" ht="27.9" customHeight="1" s="30">
      <c r="A4" s="12" t="inlineStr">
        <is>
          <t>id</t>
        </is>
      </c>
      <c r="B4" s="12" t="inlineStr">
        <is>
          <t>sigla</t>
        </is>
      </c>
      <c r="C4" s="12" t="inlineStr">
        <is>
          <t>tipo_orgao_code</t>
        </is>
      </c>
      <c r="D4" s="12" t="inlineStr">
        <is>
          <t>nome_pt</t>
        </is>
      </c>
      <c r="E4" s="12" t="inlineStr">
        <is>
          <t>nome_en</t>
        </is>
      </c>
      <c r="F4" s="12" t="inlineStr">
        <is>
          <t>ativo</t>
        </is>
      </c>
      <c r="G4" s="12" t="inlineStr">
        <is>
          <t>observacoes</t>
        </is>
      </c>
    </row>
    <row r="5" ht="27.6" customHeight="1" s="30">
      <c r="A5" s="2" t="n">
        <v>1</v>
      </c>
      <c r="B5" s="2" t="inlineStr">
        <is>
          <t>ANEEL</t>
        </is>
      </c>
      <c r="C5" s="2" t="inlineStr">
        <is>
          <t>regulator</t>
        </is>
      </c>
      <c r="D5" s="2" t="inlineStr">
        <is>
          <t>Agência Nacional de Energia Elétrica</t>
        </is>
      </c>
      <c r="E5" s="2" t="inlineStr">
        <is>
          <t>Brazilian Electricity Regulatory Agency</t>
        </is>
      </c>
      <c r="F5" s="2" t="inlineStr">
        <is>
          <t>TRUE</t>
        </is>
      </c>
      <c r="G5" s="2" t="n"/>
    </row>
    <row r="6" ht="27.6" customHeight="1" s="30">
      <c r="A6" s="2" t="n">
        <v>2</v>
      </c>
      <c r="B6" s="2" t="inlineStr">
        <is>
          <t>MME</t>
        </is>
      </c>
      <c r="C6" s="2" t="inlineStr">
        <is>
          <t>ministry</t>
        </is>
      </c>
      <c r="D6" s="2" t="inlineStr">
        <is>
          <t>Ministério de Minas e Energia</t>
        </is>
      </c>
      <c r="E6" s="2" t="inlineStr">
        <is>
          <t>Ministry of Mines and Energy</t>
        </is>
      </c>
      <c r="F6" s="2" t="inlineStr">
        <is>
          <t>TRUE</t>
        </is>
      </c>
      <c r="G6" s="2" t="n"/>
    </row>
    <row r="7" ht="27.6" customHeight="1" s="30">
      <c r="A7" s="2" t="n">
        <v>3</v>
      </c>
      <c r="B7" s="2" t="inlineStr">
        <is>
          <t>ONS</t>
        </is>
      </c>
      <c r="C7" s="2" t="inlineStr">
        <is>
          <t>operator</t>
        </is>
      </c>
      <c r="D7" s="2" t="inlineStr">
        <is>
          <t>Operador Nacional do Sistema Elétrico</t>
        </is>
      </c>
      <c r="E7" s="2" t="inlineStr">
        <is>
          <t>National Electric System Operator</t>
        </is>
      </c>
      <c r="F7" s="2" t="inlineStr">
        <is>
          <t>TRUE</t>
        </is>
      </c>
      <c r="G7" s="2" t="n"/>
    </row>
    <row r="8" ht="27.6" customHeight="1" s="30">
      <c r="A8" s="2" t="n">
        <v>4</v>
      </c>
      <c r="B8" s="2" t="inlineStr">
        <is>
          <t>CCEE</t>
        </is>
      </c>
      <c r="C8" s="2" t="inlineStr">
        <is>
          <t>market_chamber</t>
        </is>
      </c>
      <c r="D8" s="2" t="inlineStr">
        <is>
          <t>Câmara de Comercialização de Energia Elétrica</t>
        </is>
      </c>
      <c r="E8" s="2" t="inlineStr">
        <is>
          <t>Electric Energy Trading Chamber</t>
        </is>
      </c>
      <c r="F8" s="2" t="inlineStr">
        <is>
          <t>TRUE</t>
        </is>
      </c>
      <c r="G8" s="2" t="n"/>
    </row>
    <row r="9" ht="27.6" customHeight="1" s="30">
      <c r="A9" s="2" t="n">
        <v>5</v>
      </c>
      <c r="B9" s="2" t="inlineStr">
        <is>
          <t>EPE</t>
        </is>
      </c>
      <c r="C9" s="2" t="inlineStr">
        <is>
          <t>operator</t>
        </is>
      </c>
      <c r="D9" s="2" t="inlineStr">
        <is>
          <t>Empresa de Pesquisa Energética</t>
        </is>
      </c>
      <c r="E9" s="2" t="inlineStr">
        <is>
          <t>Energy Research Office</t>
        </is>
      </c>
      <c r="F9" s="2" t="inlineStr">
        <is>
          <t>TRUE</t>
        </is>
      </c>
      <c r="G9" s="2" t="n"/>
    </row>
    <row r="10">
      <c r="A10" s="2" t="n">
        <v>6</v>
      </c>
      <c r="B10" s="2" t="inlineStr">
        <is>
          <t>TCU</t>
        </is>
      </c>
      <c r="C10" s="2" t="inlineStr">
        <is>
          <t>other</t>
        </is>
      </c>
      <c r="D10" s="2" t="inlineStr">
        <is>
          <t>Tribunal de Contas da União</t>
        </is>
      </c>
      <c r="E10" s="2" t="inlineStr">
        <is>
          <t>Federal Court of Accounts</t>
        </is>
      </c>
      <c r="F10" s="2" t="inlineStr">
        <is>
          <t>TRUE</t>
        </is>
      </c>
      <c r="G10" s="2" t="n"/>
    </row>
    <row r="11" ht="41.4" customHeight="1" s="30">
      <c r="A11" s="2" t="n">
        <v>7</v>
      </c>
      <c r="B11" s="2" t="inlineStr">
        <is>
          <t>BNDES</t>
        </is>
      </c>
      <c r="C11" s="2" t="inlineStr">
        <is>
          <t>financial_institution</t>
        </is>
      </c>
      <c r="D11" s="2" t="inlineStr">
        <is>
          <t>Banco Nacional de Desenvolvimento Econômico e Social</t>
        </is>
      </c>
      <c r="E11" s="2" t="inlineStr">
        <is>
          <t>Brazilian Development Bank</t>
        </is>
      </c>
      <c r="F11" s="2" t="inlineStr">
        <is>
          <t>TRUE</t>
        </is>
      </c>
      <c r="G11" s="2" t="n"/>
    </row>
    <row r="12" ht="27.6" customHeight="1" s="30">
      <c r="A12" s="2" t="n">
        <v>8</v>
      </c>
      <c r="B12" s="2" t="inlineStr">
        <is>
          <t>CMSE</t>
        </is>
      </c>
      <c r="C12" s="2" t="inlineStr">
        <is>
          <t>council</t>
        </is>
      </c>
      <c r="D12" s="2" t="inlineStr">
        <is>
          <t>Comitê de Monitoramento do Setor Elétrico</t>
        </is>
      </c>
      <c r="E12" s="2" t="inlineStr">
        <is>
          <t>Power Sector Monitoring Committee</t>
        </is>
      </c>
      <c r="F12" s="2" t="inlineStr">
        <is>
          <t>TRUE</t>
        </is>
      </c>
      <c r="G12" s="2" t="n"/>
    </row>
    <row r="13" ht="27.6" customHeight="1" s="30">
      <c r="A13" s="2" t="n">
        <v>9</v>
      </c>
      <c r="B13" s="2" t="inlineStr">
        <is>
          <t>CNPE</t>
        </is>
      </c>
      <c r="C13" s="2" t="inlineStr">
        <is>
          <t>council</t>
        </is>
      </c>
      <c r="D13" s="2" t="inlineStr">
        <is>
          <t>Conselho Nacional de Política Energética</t>
        </is>
      </c>
      <c r="E13" s="2" t="inlineStr">
        <is>
          <t>National Energy Policy Council</t>
        </is>
      </c>
      <c r="F13" s="2" t="inlineStr">
        <is>
          <t>TRUE</t>
        </is>
      </c>
      <c r="G13" s="2" t="n"/>
    </row>
    <row r="14" ht="27.6" customHeight="1" s="30">
      <c r="A14" s="2" t="n">
        <v>10</v>
      </c>
      <c r="B14" s="2" t="inlineStr">
        <is>
          <t>ANA</t>
        </is>
      </c>
      <c r="C14" s="2" t="inlineStr">
        <is>
          <t>regulator</t>
        </is>
      </c>
      <c r="D14" s="2" t="inlineStr">
        <is>
          <t>Agência Nacional de Águas e Saneamento Básico</t>
        </is>
      </c>
      <c r="E14" s="2" t="inlineStr">
        <is>
          <t>National Water and Sanitation Agency</t>
        </is>
      </c>
      <c r="F14" s="2" t="inlineStr">
        <is>
          <t>TRUE</t>
        </is>
      </c>
      <c r="G14" s="2" t="n"/>
    </row>
    <row r="15">
      <c r="A15" s="2" t="n">
        <v>11</v>
      </c>
      <c r="B15" s="2" t="inlineStr">
        <is>
          <t>DOU</t>
        </is>
      </c>
      <c r="C15" s="2" t="inlineStr">
        <is>
          <t>other</t>
        </is>
      </c>
      <c r="D15" s="2" t="inlineStr">
        <is>
          <t>Diário Oficial da União</t>
        </is>
      </c>
      <c r="E15" s="2" t="inlineStr">
        <is>
          <t>Federal Official Gazette</t>
        </is>
      </c>
      <c r="F15" s="2" t="inlineStr">
        <is>
          <t>TRUE</t>
        </is>
      </c>
      <c r="G15" s="2" t="n"/>
    </row>
    <row r="16">
      <c r="A16" s="2" t="n">
        <v>12</v>
      </c>
      <c r="B16" s="2" t="inlineStr">
        <is>
          <t>CPFL</t>
        </is>
      </c>
      <c r="C16" s="2" t="inlineStr">
        <is>
          <t>other</t>
        </is>
      </c>
      <c r="D16" s="2" t="inlineStr">
        <is>
          <t>CPFL Energia</t>
        </is>
      </c>
      <c r="E16" s="2" t="inlineStr">
        <is>
          <t>CPFL Energia</t>
        </is>
      </c>
      <c r="F16" s="2" t="inlineStr">
        <is>
          <t>TRUE</t>
        </is>
      </c>
      <c r="G16" s="2" t="inlineStr">
        <is>
          <t>Cliente do report</t>
        </is>
      </c>
    </row>
    <row r="17">
      <c r="A17" s="2" t="n">
        <v>13</v>
      </c>
      <c r="B17" s="2" t="inlineStr">
        <is>
          <t>FSET</t>
        </is>
      </c>
      <c r="C17" s="2" t="inlineStr">
        <is>
          <t>other</t>
        </is>
      </c>
      <c r="D17" s="2" t="inlineStr">
        <is>
          <t>FSET Consultoria em Energia</t>
        </is>
      </c>
      <c r="E17" s="2" t="inlineStr">
        <is>
          <t>FSET Energy Consulting</t>
        </is>
      </c>
      <c r="F17" s="2" t="inlineStr">
        <is>
          <t>TRUE</t>
        </is>
      </c>
      <c r="G17" s="2" t="inlineStr">
        <is>
          <t>Preparadora do report</t>
        </is>
      </c>
    </row>
  </sheetData>
  <mergeCells count="2">
    <mergeCell ref="A2:H2"/>
    <mergeCell ref="A1:H1"/>
  </mergeCells>
  <dataValidations count="2">
    <dataValidation sqref="C5:C102" showDropDown="0" showInputMessage="0" showErrorMessage="0" allowBlank="0" type="list">
      <formula1>"regulator,ministry,operator,market_chamber,council,financial_institution,legislative,other"</formula1>
    </dataValidation>
    <dataValidation sqref="F5:F102" showDropDown="0" showInputMessage="0" showErrorMessage="0" allowBlank="0" type="list">
      <formula1>"TRUE,FALSE"</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L19"/>
  <sheetViews>
    <sheetView topLeftCell="A16" zoomScale="60" zoomScaleNormal="60" workbookViewId="0">
      <selection activeCell="L14" sqref="L14"/>
    </sheetView>
  </sheetViews>
  <sheetFormatPr baseColWidth="8" defaultColWidth="8.8984375" defaultRowHeight="13.8"/>
  <cols>
    <col width="10" customWidth="1" style="30" min="1" max="2"/>
    <col width="18" customWidth="1" style="30" min="3" max="3"/>
    <col width="36" customWidth="1" style="30" min="4" max="5"/>
    <col width="21.09765625" customWidth="1" style="30" min="6" max="6"/>
    <col width="46" customWidth="1" style="30" min="7" max="8"/>
    <col width="26" customWidth="1" style="30" min="9" max="9"/>
    <col width="10" customWidth="1" style="30" min="10" max="11"/>
    <col width="26" customWidth="1" style="30" min="12" max="12"/>
  </cols>
  <sheetData>
    <row r="1" ht="26.1" customHeight="1" s="30">
      <c r="A1" s="31" t="inlineStr">
        <is>
          <t>04_destaques</t>
        </is>
      </c>
    </row>
    <row r="2" ht="30" customHeight="1" s="30">
      <c r="A2" s="32" t="inlineStr">
        <is>
          <t>Notícias, comentários e updates editoriais da semana.</t>
        </is>
      </c>
    </row>
    <row r="4" ht="27.9" customHeight="1" s="30">
      <c r="A4" s="12" t="inlineStr">
        <is>
          <t>id</t>
        </is>
      </c>
      <c r="B4" s="12" t="inlineStr">
        <is>
          <t>edicao_id</t>
        </is>
      </c>
      <c r="C4" s="12" t="inlineStr">
        <is>
          <t>secao_slug</t>
        </is>
      </c>
      <c r="D4" s="12" t="inlineStr">
        <is>
          <t>titulo_pt</t>
        </is>
      </c>
      <c r="E4" s="12" t="inlineStr">
        <is>
          <t>titulo_en</t>
        </is>
      </c>
      <c r="F4" s="12" t="inlineStr">
        <is>
          <t>status</t>
        </is>
      </c>
      <c r="G4" s="12" t="inlineStr">
        <is>
          <t>comentario_pt</t>
        </is>
      </c>
      <c r="H4" s="12" t="inlineStr">
        <is>
          <t>comentario_en</t>
        </is>
      </c>
      <c r="I4" s="12" t="inlineStr">
        <is>
          <t>link_referencia</t>
        </is>
      </c>
      <c r="J4" s="12" t="inlineStr">
        <is>
          <t>ordem</t>
        </is>
      </c>
      <c r="K4" s="12" t="inlineStr">
        <is>
          <t>ativo</t>
        </is>
      </c>
      <c r="L4" s="12" t="inlineStr">
        <is>
          <t>tags</t>
        </is>
      </c>
    </row>
    <row r="5" ht="165.6" customHeight="1" s="30">
      <c r="A5" s="2" t="n">
        <v>1</v>
      </c>
      <c r="B5" s="2" t="n">
        <v>1</v>
      </c>
      <c r="C5" s="2" t="inlineStr">
        <is>
          <t>destaques-da-semana</t>
        </is>
      </c>
      <c r="D5" s="2" t="inlineStr">
        <is>
          <t>Instabilidade no mercado livre de energia</t>
        </is>
      </c>
      <c r="E5" s="2" t="inlineStr">
        <is>
          <t>Instability in the free market (trading companies)</t>
        </is>
      </c>
      <c r="F5" s="2" t="inlineStr">
        <is>
          <t>Em acompanhamento</t>
        </is>
      </c>
      <c r="G5" s="2" t="inlineStr">
        <is>
          <t>A crise envolvendo a Electra tem ampliado os impactos financeiros no mercado de energia. Cooperativas de distribuição ficaram expostas ao PLD após a quebra ou não registro de contratos, com potencial elevação de custos acima de 300% enquanto buscam recontratar energia. A inadimplência efetiva no Mercado de Curto Prazo subiu para R$ 94,8 milhões em abril, puxada principalmente por Electra Energia Digital e 2W Comercializadora Varejista. O caso aumenta a pressão sobre CCEE e ANEEL para mitigar efeitos sobre distribuidoras de menor porte e reduzir a insegurança financeira na liquidação.</t>
        </is>
      </c>
      <c r="H5" s="2" t="inlineStr">
        <is>
          <t>The crisis involving Electra continues to generate financial impacts across Brazil’s power market. Distribution cooperatives have been exposed to spot price (PLD) following the termination or non-registration of energy contracts at the CCEE, potentially increasing energy procurement costs by more than 300% while replacement contracts are secured. Effective defaults in the Short-Term Market reached BRL 94.8 million in April 2026, driven primarily by Electra and 2W, increasing pressure on CCEE and ANEEL to mitigate impacts and preserve settlement stability.</t>
        </is>
      </c>
      <c r="I5" s="2" t="n"/>
      <c r="J5" s="2" t="n">
        <v>1</v>
      </c>
      <c r="K5" s="2" t="inlineStr">
        <is>
          <t>TRUE</t>
        </is>
      </c>
      <c r="L5" s="2" t="inlineStr">
        <is>
          <t>mercado-livre; mcp; inadimplencia; ccee; aneel</t>
        </is>
      </c>
    </row>
    <row r="6" ht="151.8" customHeight="1" s="30">
      <c r="A6" s="2" t="n">
        <v>2</v>
      </c>
      <c r="B6" s="2" t="n">
        <v>1</v>
      </c>
      <c r="C6" s="2" t="inlineStr">
        <is>
          <t>destaques-da-semana</t>
        </is>
      </c>
      <c r="D6" s="2" t="inlineStr">
        <is>
          <t>Updates LRCAP 2026: Baterias</t>
        </is>
      </c>
      <c r="E6" s="2" t="inlineStr">
        <is>
          <t>LRCAP 2026: BESS</t>
        </is>
      </c>
      <c r="F6" s="2" t="inlineStr">
        <is>
          <t>Em acompanhamento</t>
        </is>
      </c>
      <c r="G6" s="2" t="inlineStr">
        <is>
          <t>Para o próximo LRCAP, o ONS adotará três critérios para definir a margem de escoamento. A lógica é garantir que os sistemas possam carregar diariamente nos momentos de sobra de energia, especialmente entre 11h e 15h, e descarregar nos horários de ponta sem restrições relevantes de transmissão. No financiamento via BNDES/Fundo Clima, a expectativa é de condições de crédito mais atrativas para reduzir a diferença de custo entre projetos com conteúdo local e importado, já que projetos nacionais podem ser 20% a 40% mais onerosos.</t>
        </is>
      </c>
      <c r="H6" s="2" t="inlineStr">
        <is>
          <t>For the upcoming Capacity Reserve Auction for battery storage projects, ONS will adopt three criteria to assess grid capacity availability. The methodology aims to ensure that storage systems can charge during energy surplus periods, particularly between 11 a.m. and 3 p.m., and discharge during peak demand without relevant transmission constraints. On financing, the government is evaluating more attractive credit conditions through BNDES and the Climate Fund to reduce the cost gap between projects using domestic and imported equipment.</t>
        </is>
      </c>
      <c r="I6" s="2" t="n"/>
      <c r="J6" s="2" t="n">
        <v>2</v>
      </c>
      <c r="K6" s="2" t="inlineStr">
        <is>
          <t>TRUE</t>
        </is>
      </c>
      <c r="L6" s="2" t="inlineStr">
        <is>
          <t>lrcap; baterias; bess; ons; bndes</t>
        </is>
      </c>
    </row>
    <row r="7" ht="151.8" customHeight="1" s="30">
      <c r="A7" s="2" t="n">
        <v>3</v>
      </c>
      <c r="B7" s="2" t="n">
        <v>1</v>
      </c>
      <c r="C7" s="2" t="inlineStr">
        <is>
          <t>destaques-da-semana</t>
        </is>
      </c>
      <c r="D7" s="2" t="inlineStr">
        <is>
          <t>Updates LRCAP 2026: Térmicas e Hidrelétricas</t>
        </is>
      </c>
      <c r="E7" s="2" t="inlineStr">
        <is>
          <t>LRCAP 2026: Thermal and Hydropower Plants</t>
        </is>
      </c>
      <c r="F7" s="2" t="inlineStr">
        <is>
          <t>Em acompanhamento</t>
        </is>
      </c>
      <c r="G7" s="2" t="inlineStr">
        <is>
          <t>O ONS incluiu 67 reforços emergenciais no POTEE 2026 para adequar a rede de transmissão aos impactos da geração contratada no LRCAP 2026. As obras somam R$ 53,5 milhões e envolvem substituição de disjuntores, transformadores de corrente e chaves seccionadoras por equipamentos com maior capacidade. Em paralelo, o TCU autorizou a continuidade do LRCAP e dos contratos, apesar de questionamentos técnicos sobre possível sobrepreço de R$ 214 bilhões, e a habilitação dos vencedores segue em análise, incluindo a UTE Monte Fuji M1.</t>
        </is>
      </c>
      <c r="H7" s="2" t="inlineStr">
        <is>
          <t>ONS included 67 emergency network reinforcements in the 2026 POTEE to accommodate transmission impacts associated with generation projects contracted under the LRCAP. The upgrades represent approximately BRL 53.5 million and include replacement of circuit breakers, current transformers and disconnect switches. In parallel, TCU authorized the continuation of the LRCAP and related contracts despite discussions regarding potential overpricing, and the qualification process of winning projects remains under review.</t>
        </is>
      </c>
      <c r="I7" s="2" t="n"/>
      <c r="J7" s="2" t="n">
        <v>3</v>
      </c>
      <c r="K7" s="2" t="inlineStr">
        <is>
          <t>TRUE</t>
        </is>
      </c>
      <c r="L7" s="2" t="inlineStr">
        <is>
          <t>lrcap; termicas; hidreletricas; transmissão; tcu</t>
        </is>
      </c>
    </row>
    <row r="8" ht="138" customHeight="1" s="30">
      <c r="A8" s="2" t="n">
        <v>4</v>
      </c>
      <c r="B8" s="2" t="n">
        <v>1</v>
      </c>
      <c r="C8" s="2" t="inlineStr">
        <is>
          <t>destaques-da-semana</t>
        </is>
      </c>
      <c r="D8" s="2" t="inlineStr">
        <is>
          <t>Updates Curtailment</t>
        </is>
      </c>
      <c r="E8" s="2" t="inlineStr">
        <is>
          <t>Updates on curtailment</t>
        </is>
      </c>
      <c r="F8" s="2" t="inlineStr">
        <is>
          <t>Em acompanhamento</t>
        </is>
      </c>
      <c r="G8" s="2" t="inlineStr">
        <is>
          <t>A interligação elétrica entre Brasil e Bolívia pode contribuir para aliviar cortes de geração no Brasil, especialmente em períodos de elevada geração solar e baixa demanda. De acordo com estudo do ONS, o fluxo de energia do Brasil para a Bolívia não apresenta restrições relevantes ao sistema brasileiro e pode ajudar a reduzir cortes hoje necessários para controlar o carregamento da LT Dourados–Guaíra. A conexão de 420 MW integra o lote 4 do 2º leilão de transmissão de 2026.</t>
        </is>
      </c>
      <c r="H8" s="2" t="inlineStr">
        <is>
          <t>The proposed 420 MW interconnection between Brazil and Bolivia could help reduce renewable curtailment in Brazil, particularly during periods of high solar generation and low demand. According to ONS, energy exports to Bolivia would not create significant constraints on the Brazilian system and could alleviate congestion currently affecting the Dourados–Guaíra transmission corridor. The project is part of Lot 4 of the 2nd 2026 Transmission Auction.</t>
        </is>
      </c>
      <c r="I8" s="2" t="n"/>
      <c r="J8" s="2" t="n">
        <v>4</v>
      </c>
      <c r="K8" s="2" t="inlineStr">
        <is>
          <t>TRUE</t>
        </is>
      </c>
      <c r="L8" s="2" t="inlineStr">
        <is>
          <t>curtailment; transmissão; bolivia; ons</t>
        </is>
      </c>
    </row>
    <row r="9" ht="96.59999999999999" customHeight="1" s="30">
      <c r="A9" s="2" t="n">
        <v>5</v>
      </c>
      <c r="B9" s="2" t="n">
        <v>1</v>
      </c>
      <c r="C9" s="2" t="inlineStr">
        <is>
          <t>destaques-da-semana</t>
        </is>
      </c>
      <c r="D9" s="2" t="inlineStr">
        <is>
          <t xml:space="preserve">Market Snapshots </t>
        </is>
      </c>
      <c r="E9" s="2" t="inlineStr">
        <is>
          <t xml:space="preserve">Market Snapshots </t>
        </is>
      </c>
      <c r="F9" s="2" t="inlineStr">
        <is>
          <t>Em acompanhamento</t>
        </is>
      </c>
      <c r="G9" s="2" t="inlineStr">
        <is>
          <t xml:space="preserve">MME busca alinhar encargo de capacidade ao custo real imposto ao sistema; ONS recebeu 223 pedidos para rescindir CUSTs e liberar 11,5 GW; El Niño levou o ONS a preservar reservatórios enquanto a ANA alerta para riscos no monitoramento; MME instituiu comissão permanente para acompanhar o mercado de energia elétrica. </t>
        </is>
      </c>
      <c r="H9" s="2" t="inlineStr">
        <is>
          <t xml:space="preserve">MME is evaluating adjustments to align capacity charges with the costs imposed on the power system; ONS received requests to terminate transmission access agreements, potentially releasing 11.5 GW of grid capacity; MME established a permanent committee to monitor the power market. </t>
        </is>
      </c>
      <c r="I9" s="2" t="n"/>
      <c r="J9" s="2" t="n">
        <v>5</v>
      </c>
      <c r="K9" s="2" t="inlineStr">
        <is>
          <t>TRUE</t>
        </is>
      </c>
      <c r="L9" s="2" t="inlineStr">
        <is>
          <t>market-snapshot; aneel; mme; ons</t>
        </is>
      </c>
    </row>
    <row r="10" ht="138" customHeight="1" s="30">
      <c r="A10" s="2" t="n">
        <v>6</v>
      </c>
      <c r="B10" s="2" t="n">
        <v>2</v>
      </c>
      <c r="C10" s="2" t="inlineStr">
        <is>
          <t>destaques-da-semana</t>
        </is>
      </c>
      <c r="D10" s="2" t="inlineStr">
        <is>
          <t>Updates LRCAP 2026: Baterias</t>
        </is>
      </c>
      <c r="E10" s="2" t="inlineStr">
        <is>
          <t>LRCAP 2026: BESS</t>
        </is>
      </c>
      <c r="F10" s="2" t="inlineStr">
        <is>
          <t>Em acompanhamento</t>
        </is>
      </c>
      <c r="G10" s="2" t="inlineStr">
        <is>
          <t>ONS e EPE publicaram a revisão 4 da Nota Técnica Conjunta sobre requisitos técnicos mínimos para conexão de sistemas de armazenamento de energia via baterias. O principal sinal regulatório é que os SAE-B deverão operar, por padrão, em modo grid forming, contribuindo para estabilidade, controle de tensão e resposta dinâmica do sistema. O documento aumenta a complexidade técnica dos projetos e tende a impactar equipamentos, estudos de conexão, fornecedores e custos de implantação.</t>
        </is>
      </c>
      <c r="H10" s="2" t="inlineStr">
        <is>
          <t>ONS and EPE published Revision 4 of the Joint Technical Note establishing minimum technical requirements for connecting BESS to the grid. The proposal requires BESS to operate by default in grid-forming mode, supporting voltage regulation, system stability and dynamic response. The new requirements increase the technical complexity of storage projects and are expected to influence equipment specifications, grid connection studies, supplier selection and overall project costs.</t>
        </is>
      </c>
      <c r="I10" s="2" t="n"/>
      <c r="J10" s="2" t="n">
        <v>1</v>
      </c>
      <c r="K10" s="2" t="inlineStr">
        <is>
          <t>TRUE</t>
        </is>
      </c>
      <c r="L10" s="2" t="inlineStr">
        <is>
          <t>lrcap; baterias; bess; ons; epe; grid-forming</t>
        </is>
      </c>
    </row>
    <row r="11" ht="193.2" customHeight="1" s="30">
      <c r="A11" s="2" t="n">
        <v>7</v>
      </c>
      <c r="B11" s="2" t="n">
        <v>2</v>
      </c>
      <c r="C11" s="2" t="inlineStr">
        <is>
          <t>destaques-da-semana</t>
        </is>
      </c>
      <c r="D11" s="2" t="inlineStr">
        <is>
          <t>Updates Curtailment</t>
        </is>
      </c>
      <c r="E11" s="2" t="inlineStr">
        <is>
          <t>Updates on curtailment</t>
        </is>
      </c>
      <c r="F11" s="2" t="inlineStr">
        <is>
          <t>Em acompanhamento</t>
        </is>
      </c>
      <c r="G11" s="2" t="inlineStr">
        <is>
          <t>A proposta da ANEEL para encerrar a CP nº 45/2019 avançou na arquitetura regulatória dos cortes de geração no SIN, mas ainda é recebida com incerteza por agentes do setor. O voto da diretora Agnes Costa consolida o curtailment como problema estrutural e diferencia cortes por razão energética e elétrica. A possível inclusão da GHmin no rateio será testada em período sombra de um ano. O pedido de vista do diretor Fernando Mosna adiou a decisão final e reforçou dúvidas sobre os impactos econômicos para renováveis e hidrelétricas. Em paralelo, o lote 4 do 2º Leilão de Transmissão de 2026, que previa a interligação Brasil–Bolívia, foi retirado do edital aprovado pela ANEEL.</t>
        </is>
      </c>
      <c r="H11" s="2" t="inlineStr">
        <is>
          <t>The regulatory framework for generation curtailment advanced one more step under CP 45/2019. It recognizes curtailment as a structural issue linked to renewable expansion and periods of energy surplus, separates energy- and electrical-related curtailment, and excludes MMGD and Type III plants from the scope. Key issues, including minimum hydro generation in the sharing methodology, will be assessed during a one-year shadow period. A request for further review postponed the final decision. In parallel, ANEEL removed Lot 4 from the 2nd Transmission Auction 2026, which included the Brazil–Bolivia interconnection.</t>
        </is>
      </c>
      <c r="I11" s="2" t="n"/>
      <c r="J11" s="2" t="n">
        <v>2</v>
      </c>
      <c r="K11" s="2" t="inlineStr">
        <is>
          <t>TRUE</t>
        </is>
      </c>
      <c r="L11" s="2" t="inlineStr">
        <is>
          <t>curtailment; cp45; aneel; transmissão; bolivia</t>
        </is>
      </c>
    </row>
    <row r="12" ht="151.8" customHeight="1" s="30">
      <c r="A12" s="2" t="n">
        <v>8</v>
      </c>
      <c r="B12" s="2" t="n">
        <v>2</v>
      </c>
      <c r="C12" s="2" t="inlineStr">
        <is>
          <t>destaques-da-semana</t>
        </is>
      </c>
      <c r="D12" s="2" t="inlineStr">
        <is>
          <t>TCU recomenda revisão de encargos pagos por APEs</t>
        </is>
      </c>
      <c r="E12" s="2" t="inlineStr">
        <is>
          <t>Review of charges applicable to self-generation</t>
        </is>
      </c>
      <c r="F12" s="2" t="inlineStr">
        <is>
          <t>Em acompanhamento</t>
        </is>
      </c>
      <c r="G12" s="2" t="inlineStr">
        <is>
          <t>O TCU recomendou que MME e ANEEL avaliem mudanças na cobrança de encargos sobre autoprodução de energia, especialmente no modelo de autoprodução por equiparação. A principal discussão é substituir o consumo líquido pelo consumo medido/bruto como base de cálculo do ESS de natureza elétrica, o que poderia aumentar a parcela paga pelos autoprodutores. O Tribunal também apontou possível distorção no abatimento da energia comercializada com terceiros da base de incidência do ESS e do EER.</t>
        </is>
      </c>
      <c r="H12" s="2" t="inlineStr">
        <is>
          <t>TCU recommended that MME and ANEEL assess changes to the calculation of charges applicable to self-generation, particularly under the equivalent model. The proposal is to use gross consumption rather than net consumption as the basis for calculating the Electrical Security Services Charge, which could increase charges for self-generators. TCU also questioned the current treatment of electricity traded with third parties, arguing that it may artificially reduce contributions to system charges.</t>
        </is>
      </c>
      <c r="I12" s="2" t="n"/>
      <c r="J12" s="2" t="n">
        <v>3</v>
      </c>
      <c r="K12" s="2" t="inlineStr">
        <is>
          <t>TRUE</t>
        </is>
      </c>
      <c r="L12" s="2" t="inlineStr">
        <is>
          <t>autoproducao; ess; eer; tcu; mme; aneel</t>
        </is>
      </c>
    </row>
    <row r="13" ht="110.4" customHeight="1" s="30">
      <c r="A13" s="2" t="n">
        <v>9</v>
      </c>
      <c r="B13" s="2" t="n">
        <v>2</v>
      </c>
      <c r="C13" s="2" t="inlineStr">
        <is>
          <t>destaques-da-semana</t>
        </is>
      </c>
      <c r="D13" s="2" t="inlineStr">
        <is>
          <t>Market Snapshots</t>
        </is>
      </c>
      <c r="E13" s="2" t="inlineStr">
        <is>
          <t>Market Snapshots</t>
        </is>
      </c>
      <c r="F13" s="2" t="inlineStr">
        <is>
          <t>Em acompanhamento</t>
        </is>
      </c>
      <c r="G13" s="2" t="inlineStr">
        <is>
          <t xml:space="preserve">MME cancelou a reunião do CNPE que retomaria a discussão da dívida de Angra 3; ANEEL identificou apenas 88 MW de MMGD à revelia, abaixo da estimativa de 15 GW; a Receita Anual Permitida das transmissoras alcançará R$ 54,9 bilhões no ciclo 2026-2027; o jogo Brasil–Escócia reduziu a demanda em 14,4%, seguido por rampa de carga de 8,5 GW. </t>
        </is>
      </c>
      <c r="H13" s="2" t="inlineStr">
        <is>
          <t xml:space="preserve">MME canceled the CNPE meeting expected to resume discussions on Angra 3 debt; ANEEL identified only 88 MW of unregistered distributed generation, below the estimated 15 GW; transmission companies’ allowed revenue will reach BRL 54.9 billion in the 2026–2027 tariff cycle; the Brazil–Scotland World Cup match reduced electricity demand by 14.4%, followed by an 8.5 GW post-match ramp. </t>
        </is>
      </c>
      <c r="I13" s="2" t="n"/>
      <c r="J13" s="2" t="n">
        <v>4</v>
      </c>
      <c r="K13" s="2" t="inlineStr">
        <is>
          <t>TRUE</t>
        </is>
      </c>
      <c r="L13" s="2" t="inlineStr">
        <is>
          <t>market-snapshot; aneel; cnpe; mmgd; transmissão; autoproducao</t>
        </is>
      </c>
    </row>
    <row r="14" ht="220.8" customHeight="1" s="30">
      <c r="A14" s="2" t="n">
        <v>10</v>
      </c>
      <c r="B14" s="2" t="n">
        <v>3</v>
      </c>
      <c r="C14" s="2" t="inlineStr">
        <is>
          <t>destaques-da-semana</t>
        </is>
      </c>
      <c r="D14" s="2" t="inlineStr">
        <is>
          <t>Instabilidade no mercado livre de energia</t>
        </is>
      </c>
      <c r="E14" s="2" t="inlineStr">
        <is>
          <t>Instability in the free market (trading companies)</t>
        </is>
      </c>
      <c r="F14" s="2" t="inlineStr">
        <is>
          <t>Em acompanhamento</t>
        </is>
      </c>
      <c r="G14" s="2" t="inlineStr">
        <is>
          <t xml:space="preserve">A ANEEL aprovou a rescisão dos contratos entre a Gold Comercializadora e distribuidoras, em razão da inadimplência contratual da empresa. A comercializadora havia assumido compromissos em leilões de energia existente de 2022 e 2023, com entregas previstas para 2025 e 2026, mas as distribuidoras passaram a reportar descumprimentos à Agência a partir de 2025. Posteriormente, a Gold teve sua autorização revogada e entrou em recuperação judicial em 2026. A Diretoria também aprovou multa de R$ 5,8 milhões pela rescisão antecipada de contratos bilaterais regulados, enquanto as demais penalidades serão calculadas pela CCEE. Em paralelo, decisões do TJPR e do STJ limitaram os efeitos da decisão que havia autorizado a CCEE a cancelar ou zerar registros de contratos da Electra no ACL. </t>
        </is>
      </c>
      <c r="H14" s="2" t="inlineStr">
        <is>
          <t>ANEEL approved the termination of regulated contracts between Gold Comercializadora and electricity distribution companies due to the default. The Agency also imposed a BRL 5.8 million fine for the early termination of the contracts, while additional penalties will be calculated by CCEE. In parallel, a court limited the previous decision that had authorized the CCEE to cancel or nullify contract registrations held by Electra in the free market.</t>
        </is>
      </c>
      <c r="I14" s="2" t="n"/>
      <c r="J14" s="2" t="n">
        <v>1</v>
      </c>
      <c r="K14" s="2" t="inlineStr">
        <is>
          <t>TRUE</t>
        </is>
      </c>
      <c r="L14" s="2" t="inlineStr">
        <is>
          <t>mercado-livre; inadimplencia; gold; electra; ccee; aneel</t>
        </is>
      </c>
    </row>
    <row r="15" ht="207" customHeight="1" s="30">
      <c r="A15" s="2" t="n">
        <v>11</v>
      </c>
      <c r="B15" s="2" t="n">
        <v>3</v>
      </c>
      <c r="C15" s="2" t="inlineStr">
        <is>
          <t>destaques-da-semana</t>
        </is>
      </c>
      <c r="D15" s="2" t="inlineStr">
        <is>
          <t>Updates LRCAP 2026: Térmicas e Hidrelétricas</t>
        </is>
      </c>
      <c r="E15" s="2" t="inlineStr">
        <is>
          <t>LRCAP 2026: Thermal and Hydropower Plants</t>
        </is>
      </c>
      <c r="F15" s="2" t="inlineStr">
        <is>
          <t>Em acompanhamento</t>
        </is>
      </c>
      <c r="G15" s="2" t="inlineStr">
        <is>
          <t>O diretor da ANEEL, pediu vista do processo que trata da homologação e adjudicação da vitória do consórcio EBrasil/Celne no LRCAP 2026, alegando necessidade de aprofundar a análise do caso. O consórcio havia vencido o produto 2028 com a UTE Monte Fuji, de 290 MW, mas sua habilitação foi inicialmente negada porque a Celne, que detém 1% do empreendimento, não atenderia ao patrimônio líquido mínimo exigido. Após recurso, a Procuradoria Federal junto à ANEEL entendeu que a exigência econômico-financeira estaria atendida, já que a EBrasil possui 99% do consórcio, é líder do grupo, controladora da Celne e supera o patrimônio mínimo exigido. Com o pedido de vista, a homologação do resultado ficou suspensa até nova deliberação da Diretoria.</t>
        </is>
      </c>
      <c r="H15" s="2" t="inlineStr">
        <is>
          <t>ANEEL's Board postponed the approval of the EBrasil/Celne consortium as the winner of the 2026 LRCAP for the Monte Fuji gas power plant (290 MW). Although the Federal Attorney's Office concluded that the consortium meets the auction's economic and financial requirements, the request suspended the final approval until a new Board decision.</t>
        </is>
      </c>
      <c r="I15" s="2" t="n"/>
      <c r="J15" s="2" t="n">
        <v>2</v>
      </c>
      <c r="K15" s="2" t="inlineStr">
        <is>
          <t>TRUE</t>
        </is>
      </c>
      <c r="L15" s="2" t="inlineStr">
        <is>
          <t>lrcap; termicas; hidreletricas; monte-fuji; ebrasil; celne; aneel</t>
        </is>
      </c>
    </row>
    <row r="16" ht="317.4" customHeight="1" s="30">
      <c r="A16" s="2" t="n">
        <v>12</v>
      </c>
      <c r="B16" s="2" t="n">
        <v>3</v>
      </c>
      <c r="C16" s="2" t="inlineStr">
        <is>
          <t>destaques-da-semana</t>
        </is>
      </c>
      <c r="D16" s="2" t="inlineStr">
        <is>
          <t xml:space="preserve">Updates Autoprodução </t>
        </is>
      </c>
      <c r="E16" s="2" t="inlineStr">
        <is>
          <t>Updates on Self-production (Law 15269/2025)</t>
        </is>
      </c>
      <c r="F16" s="2" t="inlineStr">
        <is>
          <t>Em acompanhamento</t>
        </is>
      </c>
      <c r="G16" s="2" t="inlineStr">
        <is>
          <t>A ANEEL aprovou os procedimentos para aplicação das novas regras de autoprodução previstas na Lei nº 15.269/2025. Pela decisão, desde 25 de novembro de 2025, apenas usinas com outorga poderão ser usadas como lastro em novos arranjos de autoprodução, excluindo empreendimentos que possuem apenas registro, em geral de menor porte. Para os projetos já estruturados como autoprodução antes da nova lei, mas sem outorga, foi estabelecido um período de transição de até três anos. Após esse prazo, eles passarão a ser tratados como produtores independentes, podendo continuar comercializando energia, mas sem os benefícios regulatórios da autoprodução. A decisão também detalhou os critérios para a autoprodução por equiparação, exigindo demanda contratada agregada mínima de 30 MW, com unidades de pelo menos 3 MW cada, além da comprovação de vínculo societário, participação no empreendimento gerador ou pertencimento ao mesmo grupo econômico. A CCEE ficará responsável por verificar o cumprimento desses requisitos, manter as bases de dados atualizadas e solicitar documentos quando necessário.</t>
        </is>
      </c>
      <c r="H16" s="2" t="inlineStr">
        <is>
          <t>ANEEL approved the procedures implementing the new self-generation rules established by Law 15269/2025. Under the decision, only power plants holding a generation license may support new self-generation arrangements, while existing projects without a license will have a three-year transition period before losing self-generation status. The new regulation also establishes the eligibility criteria for equivalent self-generation, including minimum contracted demand requirements and corporate affiliation criteria. The corresponding amendments must be reflected into the Commercialization Rules and Procedures. The updates will be developed and evaluated by the CCEE, which will also be responsible for verifying compliance with the new requirements.</t>
        </is>
      </c>
      <c r="I16" s="2" t="n"/>
      <c r="J16" s="2" t="n">
        <v>3</v>
      </c>
      <c r="K16" s="2" t="inlineStr">
        <is>
          <t>TRUE</t>
        </is>
      </c>
      <c r="L16" s="2" t="inlineStr">
        <is>
          <t>autoproducao; lei-15269-2025; ccee; aneel</t>
        </is>
      </c>
    </row>
    <row r="17" ht="186" customHeight="1" s="30">
      <c r="A17" s="2" t="n">
        <v>13</v>
      </c>
      <c r="B17" s="2" t="n">
        <v>3</v>
      </c>
      <c r="C17" s="2" t="inlineStr">
        <is>
          <t>destaques-da-semana</t>
        </is>
      </c>
      <c r="D17" s="2" t="inlineStr">
        <is>
          <t>Updates Curtailment</t>
        </is>
      </c>
      <c r="E17" s="2" t="inlineStr">
        <is>
          <t>Updates on curtailment</t>
        </is>
      </c>
      <c r="F17" s="2" t="inlineStr">
        <is>
          <t>Em acompanhamento</t>
        </is>
      </c>
      <c r="G17" s="2" t="inlineStr">
        <is>
          <t>O ONS registrou corte de 14.278 MW de geração eólica e solar no Nordeste no domingo, 28 de junho, volume superior à capacidade instalada de Itaipu. Com as restrições, as usinas renováveis da região operaram por apenas uma hora, entre 17h50 e 18h45, em razão de limites operacionais, intervenções em andamento e necessidade de controle de frequência. O episódio ocorreu em um cenário de baixo consumo, alta geração de MMGD e condições meteorológicas favoráveis à produção de energia solar e eólica.  Análises feitas pela FSET apontam que, em junho, apresentaram um leve recuo em relação à trajetória observada desde fevereiro, este comportamento se deu, principalmente, pela redução dos cortes por razões energéticas (ENE). Para as usinas eólicas, os cortes totais atingiram 15,5%, somando 2.414,9 MWmed, com predominância da razão energética, que respondeu por 1.474,5 MWmed. Já para as usinas solares, os cortes totais chegaram a 25,7%, totalizando 1.354,2 MWmed, praticamente todos associados à razão energética, que respondeu por 1.071,0 MWmed.</t>
        </is>
      </c>
      <c r="H17" s="2" t="inlineStr">
        <is>
          <t>ONS recorded 14.3 GW of wind and solar curtailment in the Northeast on June 28th, exceeding the installed capacity of the Itaipu hydro plant. The event was driven by low demand, high distributed generation output (MMGD), favorable renewable generation conditions, transmission constraints and frequency control requirements. Despite this event, FSET's analysis indicates that total curtailment in June declined slightly compared to the upward trend observed since February, mainly due to lower energy-related curtailment (ENE). Wind curtailment reached 15.5% (2,414.9 MW average), while solar curtailment totaled 25.7% (1,354.2 MW average), with ENE remaining the main driver in both cases.</t>
        </is>
      </c>
      <c r="I17" s="2" t="n"/>
      <c r="J17" s="2" t="n">
        <v>4</v>
      </c>
      <c r="K17" s="2" t="inlineStr">
        <is>
          <t>TRUE</t>
        </is>
      </c>
      <c r="L17" s="2" t="inlineStr">
        <is>
          <t>curtailment; ons; eolica; solar; mmgd; transmissão</t>
        </is>
      </c>
    </row>
    <row r="18" ht="151.8" customHeight="1" s="30">
      <c r="A18" s="2" t="n">
        <v>14</v>
      </c>
      <c r="B18" s="2" t="n">
        <v>3</v>
      </c>
      <c r="C18" s="2" t="inlineStr">
        <is>
          <t>destaques-da-semana</t>
        </is>
      </c>
      <c r="D18" s="2" t="inlineStr">
        <is>
          <t>Updates Reunião do CMSE</t>
        </is>
      </c>
      <c r="E18" s="2" t="inlineStr">
        <is>
          <t>Updates CMSE Meeting</t>
        </is>
      </c>
      <c r="F18" s="2" t="inlineStr">
        <is>
          <t>Em acompanhamento</t>
        </is>
      </c>
      <c r="G18" s="2" t="inlineStr">
        <is>
          <t>O CMSE avaliou que o sistema elétrico segue em condição mais favorável para 2026, com reservatórios em patamar elevado, mas alertou que cenários de maior demanda e condições climáticas adversas podem exigir acionamento adicional de térmicas. O ONS também indicou o uso estratégico de hidrelétricas, especialmente no São Francisco e em Itaipu, para reforço de potência, diante da previsão de ENAs abaixo da média e da possível formação de El Niño no segundo semestre.</t>
        </is>
      </c>
      <c r="H18" s="2" t="inlineStr">
        <is>
          <t>CMSE concluded that Brazil's power system remains in a comfortable position for 2026, supported by high reservoir levels. However, the Committee warned that stronger electricity demand or adverse hydrological conditions could require additional thermal generation dispatch. ONS also highlighted the strategic use of hydro plants, particularly in the São Francisco River basin and Itaipu hydro plant, to reinforce system capacity amid below-average inflow forecasts and the potential development of El Niño in the second half of the year.</t>
        </is>
      </c>
      <c r="I18" s="2" t="n"/>
      <c r="J18" s="2" t="n">
        <v>5</v>
      </c>
      <c r="K18" s="2" t="inlineStr">
        <is>
          <t>TRUE</t>
        </is>
      </c>
      <c r="L18" s="2" t="inlineStr">
        <is>
          <t>cmse; ons; reservatorios; termicas; el-nino</t>
        </is>
      </c>
    </row>
    <row r="19" ht="110.4" customHeight="1" s="30">
      <c r="A19" s="2" t="n">
        <v>15</v>
      </c>
      <c r="B19" s="2" t="n">
        <v>3</v>
      </c>
      <c r="C19" s="2" t="inlineStr">
        <is>
          <t>destaques-da-semana</t>
        </is>
      </c>
      <c r="D19" s="2" t="inlineStr">
        <is>
          <t>Market Snapshots</t>
        </is>
      </c>
      <c r="E19" s="2" t="inlineStr">
        <is>
          <t>Market Snapshots</t>
        </is>
      </c>
      <c r="F19" s="2" t="inlineStr">
        <is>
          <t>Em acompanhamento</t>
        </is>
      </c>
      <c r="G19" s="2" t="inlineStr">
        <is>
          <t xml:space="preserve">Aprovação do PDE 2035 indica uma ampliação de capacidade instalada no Brasil de 255GW para 367GW até 2035; carga despenca 21% em Brasil x Japão e exige retomada recorde no SIN; encerrada a 2ª sessão do 1º Leilão de Transmissão de 2026, com a Alupar vencendo o Lote 7 e a Axia ficando com os Lotes 8 a 10. 
</t>
        </is>
      </c>
      <c r="H19" s="2" t="inlineStr">
        <is>
          <t>The approval of the 2035 Power Expansion Plan (PDE 2035) projects Brazil's installed generation capacity to increase from 255 GW to 367 GW by 2035; electricity demand fell 21% during the Brazil–Japan World Cup match, followed by a record load ramp in the National Interconnected System; and the 2nd session of the 1st 2026 Transmission Auction concluded, with Alupar winning Lot 7 and Axia securing Lots 8–10.</t>
        </is>
      </c>
      <c r="I19" s="2" t="n"/>
      <c r="J19" s="2" t="n">
        <v>6</v>
      </c>
      <c r="K19" s="2" t="inlineStr">
        <is>
          <t>TRUE</t>
        </is>
      </c>
      <c r="L19" s="2" t="inlineStr">
        <is>
          <t>market-snapshot; pde-2035; copa; transmissão; leilao</t>
        </is>
      </c>
    </row>
  </sheetData>
  <mergeCells count="2">
    <mergeCell ref="A2:L2"/>
    <mergeCell ref="A1:L1"/>
  </mergeCells>
  <dataValidations count="1">
    <dataValidation sqref="K5:K110" showDropDown="0" showInputMessage="0" showErrorMessage="0" allowBlank="0" type="list">
      <formula1>"TRUE,FALSE"</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P11"/>
  <sheetViews>
    <sheetView topLeftCell="C2" workbookViewId="0">
      <selection activeCell="O5" sqref="O5"/>
    </sheetView>
  </sheetViews>
  <sheetFormatPr baseColWidth="8" defaultColWidth="8.8984375" defaultRowHeight="13.8"/>
  <cols>
    <col width="8" customWidth="1" style="30" min="1" max="1"/>
    <col width="14" customWidth="1" style="30" min="2" max="5"/>
    <col width="22" customWidth="1" style="30" min="6" max="6"/>
    <col width="38" customWidth="1" style="30" min="7" max="8"/>
    <col width="42" customWidth="1" style="30" min="9" max="12"/>
    <col width="18" customWidth="1" style="30" min="13" max="13"/>
    <col width="10" customWidth="1" style="30" min="14" max="15"/>
    <col width="28" customWidth="1" style="30" min="16" max="16"/>
  </cols>
  <sheetData>
    <row r="1" ht="17.4" customHeight="1" s="30">
      <c r="A1" s="4" t="inlineStr">
        <is>
          <t>09_pauta_aneel</t>
        </is>
      </c>
      <c r="B1" s="4" t="n"/>
      <c r="C1" s="4" t="n"/>
      <c r="D1" s="4" t="n"/>
      <c r="E1" s="4" t="n"/>
      <c r="F1" s="4" t="n"/>
      <c r="G1" s="4" t="n"/>
      <c r="H1" s="4" t="n"/>
      <c r="I1" s="4" t="n"/>
      <c r="J1" s="4" t="n"/>
      <c r="K1" s="4" t="n"/>
      <c r="L1" s="4" t="n"/>
      <c r="M1" s="4" t="n"/>
      <c r="N1" s="4" t="n"/>
      <c r="O1" s="4" t="n"/>
      <c r="P1" s="4" t="n"/>
    </row>
    <row r="2" ht="14.4" customHeight="1" s="30">
      <c r="A2" s="9" t="inlineStr">
        <is>
          <t>Itens de pauta da Diretoria da ANEEL citados em cada edição. Em inglês: Agenda of ANEEL’s.</t>
        </is>
      </c>
      <c r="B2" s="9" t="n"/>
      <c r="C2" s="9" t="n"/>
      <c r="D2" s="9" t="n"/>
      <c r="E2" s="9" t="n"/>
      <c r="F2" s="9" t="n"/>
      <c r="G2" s="9" t="n"/>
      <c r="H2" s="9" t="n"/>
      <c r="I2" s="9" t="n"/>
      <c r="J2" s="9" t="n"/>
      <c r="K2" s="9" t="n"/>
      <c r="L2" s="9" t="n"/>
      <c r="M2" s="9" t="n"/>
      <c r="N2" s="9" t="n"/>
      <c r="O2" s="9" t="n"/>
      <c r="P2" s="9" t="n"/>
    </row>
    <row r="4">
      <c r="A4" s="6" t="inlineStr">
        <is>
          <t>id</t>
        </is>
      </c>
      <c r="B4" s="6" t="inlineStr">
        <is>
          <t>edicao_id</t>
        </is>
      </c>
      <c r="C4" s="6" t="inlineStr">
        <is>
          <t>secao_slug</t>
        </is>
      </c>
      <c r="D4" s="6" t="inlineStr">
        <is>
          <t>orgao_sigla</t>
        </is>
      </c>
      <c r="E4" s="6" t="inlineStr">
        <is>
          <t>data_reuniao</t>
        </is>
      </c>
      <c r="F4" s="6" t="inlineStr">
        <is>
          <t>tipo_reuniao_code</t>
        </is>
      </c>
      <c r="G4" s="6" t="inlineStr">
        <is>
          <t>titulo_reuniao_pt</t>
        </is>
      </c>
      <c r="H4" s="6" t="inlineStr">
        <is>
          <t>titulo_reuniao_en</t>
        </is>
      </c>
      <c r="I4" s="6" t="inlineStr">
        <is>
          <t>item_pt</t>
        </is>
      </c>
      <c r="J4" s="6" t="inlineStr">
        <is>
          <t>item_en</t>
        </is>
      </c>
      <c r="K4" s="6" t="inlineStr">
        <is>
          <t>comentario_pt</t>
        </is>
      </c>
      <c r="L4" s="6" t="inlineStr">
        <is>
          <t>comentario_en</t>
        </is>
      </c>
      <c r="M4" s="6" t="inlineStr">
        <is>
          <t>link_referencia</t>
        </is>
      </c>
      <c r="N4" s="6" t="inlineStr">
        <is>
          <t>ordem</t>
        </is>
      </c>
      <c r="O4" s="6" t="inlineStr">
        <is>
          <t>ativo</t>
        </is>
      </c>
      <c r="P4" s="6" t="inlineStr">
        <is>
          <t>tags</t>
        </is>
      </c>
    </row>
    <row r="5" ht="26.4" customHeight="1" s="30">
      <c r="A5" s="28" t="n">
        <v>1</v>
      </c>
      <c r="B5" s="28" t="n">
        <v>1</v>
      </c>
      <c r="C5" s="28" t="inlineStr">
        <is>
          <t>pauta-aneel</t>
        </is>
      </c>
      <c r="D5" s="28" t="inlineStr">
        <is>
          <t>ANEEL</t>
        </is>
      </c>
      <c r="E5" s="8" t="n">
        <v>46195</v>
      </c>
      <c r="F5" s="28" t="inlineStr">
        <is>
          <t>extraordinary_board_meeting</t>
        </is>
      </c>
      <c r="G5" s="28" t="inlineStr">
        <is>
          <t>4ª Reunião Extraordinária da Diretoria da ANEEL de 2026</t>
        </is>
      </c>
      <c r="H5" s="28" t="inlineStr">
        <is>
          <t>Agenda of ANEEL’s 4th Extraordinary Board Meeting of 2026</t>
        </is>
      </c>
      <c r="I5" s="28" t="inlineStr">
        <is>
          <t>Aprovação do Edital do Leilão nº 4/2026 (Leilão de Transmissão)</t>
        </is>
      </c>
      <c r="J5" s="28" t="inlineStr">
        <is>
          <t>Outcome of CP 06/2026 — approval of the auction notice for the 2nd Transmission Auction</t>
        </is>
      </c>
      <c r="K5" s="28" t="n"/>
      <c r="L5" s="28" t="n"/>
      <c r="M5" s="28" t="n"/>
      <c r="N5" s="28" t="n">
        <v>1</v>
      </c>
      <c r="O5" s="28" t="b">
        <v>1</v>
      </c>
      <c r="P5" s="28" t="inlineStr">
        <is>
          <t>aneel; diretoria; transmissao; leilao</t>
        </is>
      </c>
    </row>
    <row r="6" ht="39.6" customHeight="1" s="30">
      <c r="A6" s="28" t="n">
        <v>2</v>
      </c>
      <c r="B6" s="28" t="n">
        <v>1</v>
      </c>
      <c r="C6" s="28" t="inlineStr">
        <is>
          <t>pauta-aneel</t>
        </is>
      </c>
      <c r="D6" s="28" t="inlineStr">
        <is>
          <t>ANEEL</t>
        </is>
      </c>
      <c r="E6" s="8" t="n">
        <v>46195</v>
      </c>
      <c r="F6" s="28" t="inlineStr">
        <is>
          <t>extraordinary_board_meeting</t>
        </is>
      </c>
      <c r="G6" s="28" t="inlineStr">
        <is>
          <t>4ª Reunião Extraordinária da Diretoria da ANEEL de 2026</t>
        </is>
      </c>
      <c r="H6" s="28" t="inlineStr">
        <is>
          <t>Agenda of ANEEL’s 4th Extraordinary Board Meeting of 2026</t>
        </is>
      </c>
      <c r="I6" s="28" t="inlineStr">
        <is>
          <t>Resultado da Terceira Fase da CP nº 45/2019, sobre critérios operativos para redução ou limitação de geração no SIN</t>
        </is>
      </c>
      <c r="J6" s="28" t="inlineStr">
        <is>
          <t>Outcome of the 3rd Phase of CP No. 45/2019, aimed at improving the regulation establishing operational criteria for generation curtailment in the SIN</t>
        </is>
      </c>
      <c r="K6" s="28" t="n"/>
      <c r="L6" s="28" t="n"/>
      <c r="M6" s="28" t="n"/>
      <c r="N6" s="28" t="n">
        <v>2</v>
      </c>
      <c r="O6" s="28" t="b">
        <v>1</v>
      </c>
      <c r="P6" s="28" t="inlineStr">
        <is>
          <t>aneel; diretoria; cp-45-2019; curtailment</t>
        </is>
      </c>
    </row>
    <row r="7" ht="26.4" customHeight="1" s="30">
      <c r="A7" s="28" t="n">
        <v>3</v>
      </c>
      <c r="B7" s="28" t="n">
        <v>1</v>
      </c>
      <c r="C7" s="28" t="inlineStr">
        <is>
          <t>pauta-aneel</t>
        </is>
      </c>
      <c r="D7" s="28" t="inlineStr">
        <is>
          <t>ANEEL</t>
        </is>
      </c>
      <c r="E7" s="8" t="n">
        <v>46196</v>
      </c>
      <c r="F7" s="28" t="inlineStr">
        <is>
          <t>electronic_voting_session</t>
        </is>
      </c>
      <c r="G7" s="28" t="inlineStr">
        <is>
          <t>10º Circuito Deliberativo da Diretoria da ANEEL de 2026</t>
        </is>
      </c>
      <c r="H7" s="28" t="inlineStr">
        <is>
          <t>Agenda of ANEEL’s 10th Electronic Voting Session of 2026</t>
        </is>
      </c>
      <c r="I7" s="28" t="inlineStr">
        <is>
          <t>Pauta citada na edição, sem itens detalhados no arquivo-base</t>
        </is>
      </c>
      <c r="J7" s="28" t="inlineStr">
        <is>
          <t>Agenda referenced in the edition; no detailed items were provided in the source file</t>
        </is>
      </c>
      <c r="K7" s="28" t="n"/>
      <c r="L7" s="28" t="n"/>
      <c r="M7" s="28" t="n"/>
      <c r="N7" s="28" t="n">
        <v>3</v>
      </c>
      <c r="O7" s="28" t="b">
        <v>1</v>
      </c>
      <c r="P7" s="28" t="inlineStr">
        <is>
          <t>aneel; circuito-deliberativo</t>
        </is>
      </c>
    </row>
    <row r="8" ht="66" customHeight="1" s="30">
      <c r="A8" s="28" t="n">
        <v>4</v>
      </c>
      <c r="B8" s="28" t="n">
        <v>2</v>
      </c>
      <c r="C8" s="28" t="inlineStr">
        <is>
          <t>pauta-aneel</t>
        </is>
      </c>
      <c r="D8" s="28" t="inlineStr">
        <is>
          <t>ANEEL</t>
        </is>
      </c>
      <c r="E8" s="8" t="n">
        <v>46203</v>
      </c>
      <c r="F8" s="28" t="inlineStr">
        <is>
          <t>ordinary_board_meeting</t>
        </is>
      </c>
      <c r="G8" s="28" t="inlineStr">
        <is>
          <t>13ª Reunião Ordinária da Diretoria da ANEEL de 2026</t>
        </is>
      </c>
      <c r="H8" s="28" t="inlineStr">
        <is>
          <t>Agenda of ANEEL’s 13th Ordinary Board Meeting of 2026</t>
        </is>
      </c>
      <c r="I8" s="28" t="inlineStr">
        <is>
          <t>Proposta de abertura de CP para revisão da metodologia do Fator X</t>
        </is>
      </c>
      <c r="J8" s="28" t="inlineStr">
        <is>
          <t>Proposal to launch a public consultation on the revision of the X Factor methodology</t>
        </is>
      </c>
      <c r="K8" s="28" t="inlineStr">
        <is>
          <t>A proposta prevê que distribuidoras afetadas por perdas estruturais de produtividade, como as decorrentes da MMGD, tenham reajustes da Parcela B acima da inflação para recompor investimentos realizados.</t>
        </is>
      </c>
      <c r="L8" s="28" t="inlineStr">
        <is>
          <t>The proposal would allow distribution companies affected by structural productivity losses, particularly due to MMGD, to receive B Component adjustments above inflation to recover past investments.</t>
        </is>
      </c>
      <c r="M8" s="28" t="n"/>
      <c r="N8" s="28" t="n">
        <v>1</v>
      </c>
      <c r="O8" s="28" t="b">
        <v>1</v>
      </c>
      <c r="P8" s="28" t="inlineStr">
        <is>
          <t>aneel; fator-x; distribuicao; mmgd</t>
        </is>
      </c>
    </row>
    <row r="9" ht="39.6" customHeight="1" s="30">
      <c r="A9" s="28" t="n">
        <v>5</v>
      </c>
      <c r="B9" s="28" t="n">
        <v>2</v>
      </c>
      <c r="C9" s="28" t="inlineStr">
        <is>
          <t>pauta-aneel</t>
        </is>
      </c>
      <c r="D9" s="28" t="inlineStr">
        <is>
          <t>ANEEL</t>
        </is>
      </c>
      <c r="E9" s="8" t="n">
        <v>46203</v>
      </c>
      <c r="F9" s="28" t="inlineStr">
        <is>
          <t>ordinary_board_meeting</t>
        </is>
      </c>
      <c r="G9" s="28" t="inlineStr">
        <is>
          <t>13ª Reunião Ordinária da Diretoria da ANEEL de 2026</t>
        </is>
      </c>
      <c r="H9" s="28" t="inlineStr">
        <is>
          <t>Agenda of ANEEL’s 13th Ordinary Board Meeting of 2026</t>
        </is>
      </c>
      <c r="I9" s="28" t="inlineStr">
        <is>
          <t>Resolução dos CCEARs derivados do MCSD e CBRs celebrados entre distribuidoras e a Gold Comercializadora de Energia</t>
        </is>
      </c>
      <c r="J9" s="28" t="inlineStr">
        <is>
          <t>Termination of CCEARs arising from the MCSD and CBRs executed between distribution companies and Gold Comercializadora de Energia</t>
        </is>
      </c>
      <c r="K9" s="28" t="n"/>
      <c r="L9" s="28" t="n"/>
      <c r="M9" s="28" t="n"/>
      <c r="N9" s="28" t="n">
        <v>2</v>
      </c>
      <c r="O9" s="28" t="b">
        <v>1</v>
      </c>
      <c r="P9" s="28" t="inlineStr">
        <is>
          <t>aneel; contratos; ccear; mcsd; gold</t>
        </is>
      </c>
    </row>
    <row r="10" ht="39.6" customHeight="1" s="30">
      <c r="A10" s="28" t="n">
        <v>6</v>
      </c>
      <c r="B10" s="28" t="n">
        <v>2</v>
      </c>
      <c r="C10" s="28" t="inlineStr">
        <is>
          <t>pauta-aneel</t>
        </is>
      </c>
      <c r="D10" s="28" t="inlineStr">
        <is>
          <t>ANEEL</t>
        </is>
      </c>
      <c r="E10" s="8" t="n">
        <v>46203</v>
      </c>
      <c r="F10" s="28" t="inlineStr">
        <is>
          <t>ordinary_board_meeting</t>
        </is>
      </c>
      <c r="G10" s="28" t="inlineStr">
        <is>
          <t>13ª Reunião Ordinária da Diretoria da ANEEL de 2026</t>
        </is>
      </c>
      <c r="H10" s="28" t="inlineStr">
        <is>
          <t>Agenda of ANEEL’s 13th Ordinary Board Meeting of 2026</t>
        </is>
      </c>
      <c r="I10" s="28" t="inlineStr">
        <is>
          <t>Procedimentos referentes à autoprodução de energia elétrica, inclusive por equiparação, conforme alterações da Lei nº 15.269/2025 à Lei nº 9.074/1995</t>
        </is>
      </c>
      <c r="J10" s="28" t="inlineStr">
        <is>
          <t>Procedures related to self-generation, including equivalent self-generation, following amendments to Law 9074/1995 introduced by Law 15269/2025</t>
        </is>
      </c>
      <c r="K10" s="28" t="n"/>
      <c r="L10" s="28" t="n"/>
      <c r="M10" s="28" t="n"/>
      <c r="N10" s="28" t="n">
        <v>3</v>
      </c>
      <c r="O10" s="28" t="b">
        <v>1</v>
      </c>
      <c r="P10" s="28" t="inlineStr">
        <is>
          <t>aneel; autoproducao; lei-15269-2025</t>
        </is>
      </c>
    </row>
    <row r="11" ht="79.2" customHeight="1" s="30">
      <c r="A11" s="28" t="n">
        <v>7</v>
      </c>
      <c r="B11" s="28" t="n">
        <v>3</v>
      </c>
      <c r="C11" s="28" t="inlineStr">
        <is>
          <t>pauta-aneel</t>
        </is>
      </c>
      <c r="D11" s="28" t="inlineStr">
        <is>
          <t>ANEEL</t>
        </is>
      </c>
      <c r="E11" s="8" t="n">
        <v>46210</v>
      </c>
      <c r="F11" s="28" t="inlineStr">
        <is>
          <t>electronic_voting_session</t>
        </is>
      </c>
      <c r="G11" s="28" t="inlineStr">
        <is>
          <t>11º Circuito Deliberativo da Diretoria da ANEEL de 2026</t>
        </is>
      </c>
      <c r="H11" s="28" t="inlineStr">
        <is>
          <t>Agenda of ANEEL's 11th Electronic Voting Session of 2026</t>
        </is>
      </c>
      <c r="I11" s="28" t="inlineStr">
        <is>
          <t>Proposta de abertura de CP com vistas a colher subsídios e informações adicionais para o aprimoramento do Edital dos Leilões de Energia Existente “A-1”, “A-2” e “A-3”, de 2026, destinados à compra de energia elétrica proveniente de empreendimentos de geração existentes.</t>
        </is>
      </c>
      <c r="J11" s="28" t="inlineStr">
        <is>
          <t>Proposal to launch a Public Consultation (CP) to improve the Auction Notice for the 2026 Existing Energy Auctions (A-1, A-2 and A-3), aimed at procuring electricity from existing generation facilities</t>
        </is>
      </c>
      <c r="K11" s="28" t="n"/>
      <c r="L11" s="28" t="n"/>
      <c r="M11" s="28" t="n"/>
      <c r="N11" s="28" t="n">
        <v>1</v>
      </c>
      <c r="O11" s="28" t="b">
        <v>1</v>
      </c>
      <c r="P11" s="28" t="inlineStr">
        <is>
          <t>aneel; circuito-deliberativo; leilao; energia-existente</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Q8"/>
  <sheetViews>
    <sheetView topLeftCell="K1" workbookViewId="0">
      <selection activeCell="O5" sqref="O5:O8"/>
    </sheetView>
  </sheetViews>
  <sheetFormatPr baseColWidth="8" defaultColWidth="8.8984375" defaultRowHeight="13.8"/>
  <cols>
    <col width="8" customWidth="1" style="30" min="1" max="1"/>
    <col width="14" customWidth="1" style="30" min="2" max="4"/>
    <col width="19.5" customWidth="1" style="30" min="5" max="5"/>
    <col width="22" customWidth="1" style="30" min="6" max="6"/>
    <col width="42" customWidth="1" style="30" min="7" max="10"/>
    <col width="44" customWidth="1" style="30" min="11" max="12"/>
    <col width="18" customWidth="1" style="30" min="13" max="13"/>
    <col width="10" customWidth="1" style="30" min="14" max="15"/>
    <col width="28" customWidth="1" style="30" min="16" max="16"/>
    <col width="40" customWidth="1" style="30" min="17" max="17"/>
  </cols>
  <sheetData>
    <row r="1" ht="17.4" customHeight="1" s="30">
      <c r="A1" s="4" t="inlineStr">
        <is>
          <t>10_normativos_publicados</t>
        </is>
      </c>
      <c r="B1" s="4" t="n"/>
      <c r="C1" s="4" t="n"/>
      <c r="D1" s="4" t="n"/>
      <c r="E1" s="4" t="n"/>
      <c r="F1" s="4" t="n"/>
      <c r="G1" s="4" t="n"/>
      <c r="H1" s="4" t="n"/>
      <c r="I1" s="4" t="n"/>
      <c r="J1" s="4" t="n"/>
      <c r="K1" s="4" t="n"/>
      <c r="L1" s="4" t="n"/>
      <c r="M1" s="4" t="n"/>
      <c r="N1" s="4" t="n"/>
      <c r="O1" s="4" t="n"/>
      <c r="P1" s="4" t="n"/>
      <c r="Q1" s="4" t="n"/>
    </row>
    <row r="2" ht="14.4" customHeight="1" s="30">
      <c r="A2" s="9" t="inlineStr">
        <is>
          <t>Normativos, atos e documentos regulatórios publicados ou aprovados citados na edição. Tradução adotada: Published Regulatory Acts.</t>
        </is>
      </c>
      <c r="B2" s="9" t="n"/>
      <c r="C2" s="9" t="n"/>
      <c r="D2" s="9" t="n"/>
      <c r="E2" s="9" t="n"/>
      <c r="F2" s="9" t="n"/>
      <c r="G2" s="9" t="n"/>
      <c r="H2" s="9" t="n"/>
      <c r="I2" s="9" t="n"/>
      <c r="J2" s="9" t="n"/>
      <c r="K2" s="9" t="n"/>
      <c r="L2" s="9" t="n"/>
      <c r="M2" s="9" t="n"/>
      <c r="N2" s="9" t="n"/>
      <c r="O2" s="9" t="n"/>
      <c r="P2" s="9" t="n"/>
      <c r="Q2" s="9" t="n"/>
    </row>
    <row r="4" ht="27.6" customHeight="1" s="30">
      <c r="A4" s="6" t="inlineStr">
        <is>
          <t>id</t>
        </is>
      </c>
      <c r="B4" s="6" t="inlineStr">
        <is>
          <t>edicao_id</t>
        </is>
      </c>
      <c r="C4" s="6" t="inlineStr">
        <is>
          <t>secao_slug</t>
        </is>
      </c>
      <c r="D4" s="6" t="inlineStr">
        <is>
          <t>orgao_sigla</t>
        </is>
      </c>
      <c r="E4" s="6" t="inlineStr">
        <is>
          <t>tipo_normativo_code</t>
        </is>
      </c>
      <c r="F4" s="6" t="inlineStr">
        <is>
          <t>numero</t>
        </is>
      </c>
      <c r="G4" s="6" t="inlineStr">
        <is>
          <t>titulo_pt</t>
        </is>
      </c>
      <c r="H4" s="6" t="inlineStr">
        <is>
          <t>titulo_en</t>
        </is>
      </c>
      <c r="I4" s="6" t="inlineStr">
        <is>
          <t>data_publicacao</t>
        </is>
      </c>
      <c r="J4" s="6" t="inlineStr">
        <is>
          <t>status_normativo_code</t>
        </is>
      </c>
      <c r="K4" s="6" t="inlineStr">
        <is>
          <t>resumo_pt</t>
        </is>
      </c>
      <c r="L4" s="6" t="inlineStr">
        <is>
          <t>resumo_en</t>
        </is>
      </c>
      <c r="M4" s="6" t="inlineStr">
        <is>
          <t>link_referencia</t>
        </is>
      </c>
      <c r="N4" s="6" t="inlineStr">
        <is>
          <t>ordem</t>
        </is>
      </c>
      <c r="O4" s="6" t="inlineStr">
        <is>
          <t>ativo</t>
        </is>
      </c>
      <c r="P4" s="6" t="inlineStr">
        <is>
          <t>tags</t>
        </is>
      </c>
      <c r="Q4" s="6" t="inlineStr">
        <is>
          <t>observacoes</t>
        </is>
      </c>
    </row>
    <row r="5" ht="39.6" customHeight="1" s="30">
      <c r="A5" s="28" t="n">
        <v>1</v>
      </c>
      <c r="B5" s="28" t="n">
        <v>1</v>
      </c>
      <c r="C5" s="28" t="inlineStr">
        <is>
          <t>normativos-publicados</t>
        </is>
      </c>
      <c r="D5" s="28" t="inlineStr">
        <is>
          <t>ANEEL</t>
        </is>
      </c>
      <c r="E5" s="8" t="inlineStr">
        <is>
          <t>order</t>
        </is>
      </c>
      <c r="F5" s="28" t="inlineStr">
        <is>
          <t>2.801/2024</t>
        </is>
      </c>
      <c r="G5" s="28" t="inlineStr">
        <is>
          <t>Despacho ANEEL nº 2.801/2024 — Processo Simplificado de Liquidação das receitas e encargos de transmissão</t>
        </is>
      </c>
      <c r="H5" s="28" t="inlineStr">
        <is>
          <t>ANEEL Order No. 2801/2024 — Simplified settlement process for transmission service revenues and charges</t>
        </is>
      </c>
      <c r="I5" s="8" t="n"/>
      <c r="J5" s="28" t="inlineStr">
        <is>
          <t>published</t>
        </is>
      </c>
      <c r="K5" s="28" t="inlineStr">
        <is>
          <t>Ato citado na Consulta Externa do ONS sobre alteração do Submódulo 8.3 dos Procedimentos de Rede para incorporar o Processo Simplificado de Liquidação.</t>
        </is>
      </c>
      <c r="L5" s="28" t="inlineStr">
        <is>
          <t>Act cited in ONS external consultation on amendments to Grid Procedures Submodule 8.3 to incorporate the Simplified Settlement Process.</t>
        </is>
      </c>
      <c r="M5" s="28" t="n"/>
      <c r="N5" s="28" t="n">
        <v>1</v>
      </c>
      <c r="O5" s="28" t="b">
        <v>1</v>
      </c>
      <c r="P5" s="28" t="inlineStr">
        <is>
          <t>aneel; ons; transmissao; liquidacao</t>
        </is>
      </c>
      <c r="Q5" s="28" t="inlineStr">
        <is>
          <t>Citado na edição de 19/06/2026 em Temas abertos para participação pública</t>
        </is>
      </c>
    </row>
    <row r="6" ht="26.4" customHeight="1" s="30">
      <c r="A6" s="28" t="n">
        <v>2</v>
      </c>
      <c r="B6" s="28" t="n">
        <v>1</v>
      </c>
      <c r="C6" s="28" t="inlineStr">
        <is>
          <t>normativos-publicados</t>
        </is>
      </c>
      <c r="D6" s="28" t="inlineStr">
        <is>
          <t>MME</t>
        </is>
      </c>
      <c r="E6" s="8" t="inlineStr">
        <is>
          <t>ordinance</t>
        </is>
      </c>
      <c r="F6" s="28" t="inlineStr">
        <is>
          <t>135/2026</t>
        </is>
      </c>
      <c r="G6" s="28" t="inlineStr">
        <is>
          <t>Portaria MME nº 135/2026 — Diretrizes para os Leilões de Energia Existente A-1, A-2 e A-3 de 2026</t>
        </is>
      </c>
      <c r="H6" s="28" t="inlineStr">
        <is>
          <t>MME Ordinance No. 135/2026 — Guidelines for the 2026 A-1, A-2 and A-3 Existing Energy Auctions</t>
        </is>
      </c>
      <c r="I6" s="8" t="n"/>
      <c r="J6" s="28" t="inlineStr">
        <is>
          <t>published</t>
        </is>
      </c>
      <c r="K6" s="28" t="inlineStr">
        <is>
          <t>Define as diretrizes dos três certames de energia existente de 2026.</t>
        </is>
      </c>
      <c r="L6" s="28" t="inlineStr">
        <is>
          <t>Sets the guidelines for the three 2026 existing energy auctions.</t>
        </is>
      </c>
      <c r="M6" s="28" t="n"/>
      <c r="N6" s="28" t="n">
        <v>2</v>
      </c>
      <c r="O6" s="28" t="b">
        <v>1</v>
      </c>
      <c r="P6" s="28" t="inlineStr">
        <is>
          <t>mme; leilao; energia-existente</t>
        </is>
      </c>
      <c r="Q6" s="28" t="inlineStr">
        <is>
          <t>Citado na edição de 19/06/2026 no cronograma de leilões</t>
        </is>
      </c>
    </row>
    <row r="7" ht="26.4" customHeight="1" s="30">
      <c r="A7" s="28" t="n">
        <v>3</v>
      </c>
      <c r="B7" s="28" t="n">
        <v>1</v>
      </c>
      <c r="C7" s="28" t="inlineStr">
        <is>
          <t>normativos-publicados</t>
        </is>
      </c>
      <c r="D7" s="28" t="inlineStr">
        <is>
          <t>MME</t>
        </is>
      </c>
      <c r="E7" s="8" t="inlineStr">
        <is>
          <t>ordinance</t>
        </is>
      </c>
      <c r="F7" s="28" t="inlineStr">
        <is>
          <t>114/2025</t>
        </is>
      </c>
      <c r="G7" s="28" t="inlineStr">
        <is>
          <t>Portaria MME nº 114/2025 — Cronograma dos Leilões de Transmissão de 2026 e 2027</t>
        </is>
      </c>
      <c r="H7" s="28" t="inlineStr">
        <is>
          <t>MME Ordinance No. 114/2025 — Schedule for the 2026 and 2027 Transmission Auctions</t>
        </is>
      </c>
      <c r="I7" s="8" t="n"/>
      <c r="J7" s="28" t="inlineStr">
        <is>
          <t>published</t>
        </is>
      </c>
      <c r="K7" s="28" t="inlineStr">
        <is>
          <t>Define o cronograma de leilões de transmissão de 2026 e 2027, com previsão de dois leilões por ano.</t>
        </is>
      </c>
      <c r="L7" s="28" t="inlineStr">
        <is>
          <t>Establishes the schedule for 2026 and 2027 transmission auctions, with two auctions per year.</t>
        </is>
      </c>
      <c r="M7" s="28" t="n"/>
      <c r="N7" s="28" t="n">
        <v>3</v>
      </c>
      <c r="O7" s="28" t="b">
        <v>1</v>
      </c>
      <c r="P7" s="28" t="inlineStr">
        <is>
          <t>mme; transmissao; leilao</t>
        </is>
      </c>
      <c r="Q7" s="28" t="inlineStr">
        <is>
          <t>Citado nos comentários do cronograma de leilões</t>
        </is>
      </c>
    </row>
    <row r="8" ht="39.6" customHeight="1" s="30">
      <c r="A8" s="28" t="n">
        <v>4</v>
      </c>
      <c r="B8" s="28" t="n">
        <v>2</v>
      </c>
      <c r="C8" s="28" t="inlineStr">
        <is>
          <t>normativos-publicados</t>
        </is>
      </c>
      <c r="D8" s="28" t="inlineStr">
        <is>
          <t>ANEEL</t>
        </is>
      </c>
      <c r="E8" s="8" t="inlineStr">
        <is>
          <t>resolution</t>
        </is>
      </c>
      <c r="F8" s="28" t="inlineStr">
        <is>
          <t>1.161/2026 e 1.162/2026</t>
        </is>
      </c>
      <c r="G8" s="28" t="inlineStr">
        <is>
          <t>Resoluções ANEEL nº 1.161/2026 e nº 1.162/2026 — Regulamentação de BESS e usinas reversíveis</t>
        </is>
      </c>
      <c r="H8" s="28" t="inlineStr">
        <is>
          <t>ANEEL Resolutions No. 1161/2026 and No. 1162/2026 — Regulation of BESS and pumped-storage hydro plants</t>
        </is>
      </c>
      <c r="I8" s="8" t="n"/>
      <c r="J8" s="28" t="inlineStr">
        <is>
          <t>approved_pending_publication</t>
        </is>
      </c>
      <c r="K8" s="28" t="inlineStr">
        <is>
          <t>A Diretoria da ANEEL aprovou a regulamentação dos BESS e usinas reversíveis; os atos aguardavam publicação na edição analisada.</t>
        </is>
      </c>
      <c r="L8" s="28" t="inlineStr">
        <is>
          <t>ANEEL approved regulations for BESS and pumped-storage hydro plants; the acts were awaiting official publication in the analyzed edition.</t>
        </is>
      </c>
      <c r="M8" s="28" t="n"/>
      <c r="N8" s="28" t="n">
        <v>1</v>
      </c>
      <c r="O8" s="28" t="b">
        <v>1</v>
      </c>
      <c r="P8" s="28" t="inlineStr">
        <is>
          <t>aneel; armazenamento; bess; usinas-reversiveis</t>
        </is>
      </c>
      <c r="Q8" s="28" t="inlineStr">
        <is>
          <t>Mantido nesta aba por relevância, com status indicando que ainda aguardava publicação</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87"/>
  <sheetViews>
    <sheetView topLeftCell="A63" workbookViewId="0">
      <selection activeCell="M87" sqref="M87"/>
    </sheetView>
  </sheetViews>
  <sheetFormatPr baseColWidth="8" defaultColWidth="8.8984375" defaultRowHeight="13.8"/>
  <cols>
    <col width="10" customWidth="1" style="30" min="1" max="2"/>
    <col width="18" customWidth="1" style="30" min="3" max="4"/>
    <col width="36" customWidth="1" style="30" min="5" max="6"/>
    <col width="18" customWidth="1" style="30" min="7" max="7"/>
    <col width="46" customWidth="1" style="30" min="8" max="9"/>
    <col width="26" customWidth="1" style="30" min="10" max="10"/>
    <col width="10" customWidth="1" style="30" min="11" max="12"/>
    <col width="26" customWidth="1" style="30" min="13" max="13"/>
  </cols>
  <sheetData>
    <row r="1" ht="26.1" customHeight="1" s="30">
      <c r="A1" s="31" t="inlineStr">
        <is>
          <t>05_pendencias</t>
        </is>
      </c>
    </row>
    <row r="2" ht="30" customHeight="1" s="30">
      <c r="A2" s="32" t="inlineStr">
        <is>
          <t>Temas regulatórios acompanhados, com separação por órgão e edição.</t>
        </is>
      </c>
    </row>
    <row r="4" ht="27.9" customHeight="1" s="30">
      <c r="A4" s="12" t="inlineStr">
        <is>
          <t>id</t>
        </is>
      </c>
      <c r="B4" s="12" t="inlineStr">
        <is>
          <t>edicao_id</t>
        </is>
      </c>
      <c r="C4" s="12" t="inlineStr">
        <is>
          <t>secao_slug</t>
        </is>
      </c>
      <c r="D4" s="12" t="inlineStr">
        <is>
          <t>orgao_sigla</t>
        </is>
      </c>
      <c r="E4" s="12" t="inlineStr">
        <is>
          <t>topico_pt</t>
        </is>
      </c>
      <c r="F4" s="12" t="inlineStr">
        <is>
          <t>topico_en</t>
        </is>
      </c>
      <c r="G4" s="12" t="inlineStr">
        <is>
          <t>status_regulatorio_code</t>
        </is>
      </c>
      <c r="H4" s="12" t="inlineStr">
        <is>
          <t>comentario_pt</t>
        </is>
      </c>
      <c r="I4" s="12" t="inlineStr">
        <is>
          <t>comentario_en</t>
        </is>
      </c>
      <c r="J4" s="12" t="inlineStr">
        <is>
          <t>link_referencia</t>
        </is>
      </c>
      <c r="K4" s="12" t="inlineStr">
        <is>
          <t>ordem</t>
        </is>
      </c>
      <c r="L4" s="12" t="inlineStr">
        <is>
          <t>ativo</t>
        </is>
      </c>
      <c r="M4" s="12" t="inlineStr">
        <is>
          <t>tags</t>
        </is>
      </c>
    </row>
    <row r="5" ht="41.4" customHeight="1" s="30">
      <c r="A5" s="2" t="n">
        <v>1</v>
      </c>
      <c r="B5" s="2" t="n">
        <v>1</v>
      </c>
      <c r="C5" s="2" t="inlineStr">
        <is>
          <t>pendencias-regulatorias-aneel</t>
        </is>
      </c>
      <c r="D5" s="2" t="inlineStr">
        <is>
          <t>ANEEL</t>
        </is>
      </c>
      <c r="E5" s="2" t="inlineStr">
        <is>
          <t>Regulação para sistemas de armazenamento (incluindo baterias e usinas reversíveis de bombeamento)</t>
        </is>
      </c>
      <c r="F5" s="2" t="inlineStr">
        <is>
          <t>Regulation for storage systems (including BESS and pumped hydro plants)</t>
        </is>
      </c>
      <c r="G5" s="2" t="inlineStr">
        <is>
          <t>completed</t>
        </is>
      </c>
      <c r="H5" s="2" t="inlineStr">
        <is>
          <t>Tema da CP 39/2023. A Diretoria da ANEEL aprovou a regulamentação dos BESS e usinas reversíveis por meio de REN a ser publicada.</t>
        </is>
      </c>
      <c r="I5" s="2" t="inlineStr">
        <is>
          <t>Subject of CP 39/2023. ANEEL approved the regulation of BESS and pumped-storage hydropower plants through a new Resolution, pending publication.</t>
        </is>
      </c>
      <c r="J5" s="2" t="n"/>
      <c r="K5" s="2" t="n">
        <v>1</v>
      </c>
      <c r="L5" s="2" t="inlineStr">
        <is>
          <t>TRUE</t>
        </is>
      </c>
      <c r="M5" s="2" t="inlineStr">
        <is>
          <t>baterias; armazenamento; aneel</t>
        </is>
      </c>
    </row>
    <row r="6" ht="41.4" customHeight="1" s="30">
      <c r="A6" s="2" t="n">
        <v>2</v>
      </c>
      <c r="B6" s="2" t="n">
        <v>1</v>
      </c>
      <c r="C6" s="2" t="inlineStr">
        <is>
          <t>pendencias-regulatorias-aneel</t>
        </is>
      </c>
      <c r="D6" s="2" t="inlineStr">
        <is>
          <t>ANEEL</t>
        </is>
      </c>
      <c r="E6" s="2" t="inlineStr">
        <is>
          <t>Pagamento de encargos de constrained-off para usinas hidrelétricas</t>
        </is>
      </c>
      <c r="F6" s="2" t="inlineStr">
        <is>
          <t>Payment of constrained off charges for hydroelectric plants</t>
        </is>
      </c>
      <c r="G6" s="2" t="inlineStr">
        <is>
          <t>started</t>
        </is>
      </c>
      <c r="H6" s="2" t="inlineStr">
        <is>
          <t>A ANEEL iniciou discussões internas sobre o tema. Uma CP deve ser aberta no 1º semestre de 2026.</t>
        </is>
      </c>
      <c r="I6" s="2" t="inlineStr">
        <is>
          <t>ANEEL has started internal discussions on the subject. A new CP is expected to take place in the first half of 2026.</t>
        </is>
      </c>
      <c r="J6" s="2" t="n"/>
      <c r="K6" s="2" t="n">
        <v>2</v>
      </c>
      <c r="L6" s="2" t="inlineStr">
        <is>
          <t>TRUE</t>
        </is>
      </c>
      <c r="M6" s="2" t="inlineStr">
        <is>
          <t>curtailment; hidreletricas; aneel</t>
        </is>
      </c>
    </row>
    <row r="7" ht="27.6" customHeight="1" s="30">
      <c r="A7" s="2" t="n">
        <v>3</v>
      </c>
      <c r="B7" s="2" t="n">
        <v>1</v>
      </c>
      <c r="C7" s="2" t="inlineStr">
        <is>
          <t>pendencias-regulatorias-aneel</t>
        </is>
      </c>
      <c r="D7" s="2" t="inlineStr">
        <is>
          <t>ANEEL</t>
        </is>
      </c>
      <c r="E7" s="2" t="inlineStr">
        <is>
          <t>Modernização das tarifas de distribuição - Ciclo 1</t>
        </is>
      </c>
      <c r="F7" s="2" t="inlineStr">
        <is>
          <t>Modernization of Distribution Tariffs – Cycle 1</t>
        </is>
      </c>
      <c r="G7" s="2" t="inlineStr">
        <is>
          <t>in_progress</t>
        </is>
      </c>
      <c r="H7" s="2" t="inlineStr">
        <is>
          <t>Tema da CP 16/2026. A CP está aberta para contribuições até 8 de agosto.</t>
        </is>
      </c>
      <c r="I7" s="2" t="inlineStr">
        <is>
          <t>Subject of CP 16/2026. CP is open for contributions until August 8th, 2026.</t>
        </is>
      </c>
      <c r="J7" s="2" t="n"/>
      <c r="K7" s="2" t="n">
        <v>3</v>
      </c>
      <c r="L7" s="2" t="inlineStr">
        <is>
          <t>TRUE</t>
        </is>
      </c>
      <c r="M7" s="2" t="inlineStr">
        <is>
          <t>tarifas; distribuição; aneel</t>
        </is>
      </c>
    </row>
    <row r="8" ht="69" customHeight="1" s="30">
      <c r="A8" s="2" t="n">
        <v>4</v>
      </c>
      <c r="B8" s="2" t="n">
        <v>1</v>
      </c>
      <c r="C8" s="2" t="inlineStr">
        <is>
          <t>pendencias-regulatorias-aneel</t>
        </is>
      </c>
      <c r="D8" s="2" t="inlineStr">
        <is>
          <t>ANEEL</t>
        </is>
      </c>
      <c r="E8" s="2" t="inlineStr">
        <is>
          <t>Aprimoramento da regulamentação para atendimento aos critérios para autoprodução, inclusive por equiparação</t>
        </is>
      </c>
      <c r="F8" s="2" t="inlineStr">
        <is>
          <t>Improvements of criteria for self-generation</t>
        </is>
      </c>
      <c r="G8" s="2" t="inlineStr">
        <is>
          <t>started</t>
        </is>
      </c>
      <c r="H8" s="2" t="inlineStr">
        <is>
          <t>Previsão de abertura de CP em 2026. Os procedimentos às alterações na Lei nº 9.074/1995 estabelecidas pela Lei nº 15.269/2025 vão ser discutidos pela Diretoria da ANEEL em reunião até dia 30/06.</t>
        </is>
      </c>
      <c r="I8" s="2" t="inlineStr">
        <is>
          <t>CP expected to be opened in 2026. ANEEL’s Board is expected to discuss by June 30th the procedures for implementing the amendments introduced by Law No. 15,269/2025.</t>
        </is>
      </c>
      <c r="J8" s="2" t="n"/>
      <c r="K8" s="2" t="n">
        <v>4</v>
      </c>
      <c r="L8" s="2" t="inlineStr">
        <is>
          <t>TRUE</t>
        </is>
      </c>
      <c r="M8" s="2" t="inlineStr">
        <is>
          <t>autoproducao; aneel</t>
        </is>
      </c>
    </row>
    <row r="9" ht="55.2" customHeight="1" s="30">
      <c r="A9" s="2" t="n">
        <v>5</v>
      </c>
      <c r="B9" s="2" t="n">
        <v>1</v>
      </c>
      <c r="C9" s="2" t="inlineStr">
        <is>
          <t>pendencias-regulatorias-aneel</t>
        </is>
      </c>
      <c r="D9" s="2" t="inlineStr">
        <is>
          <t>ANEEL</t>
        </is>
      </c>
      <c r="E9" s="2" t="inlineStr">
        <is>
          <t>Critérios operacionais para curtailment de usinas</t>
        </is>
      </c>
      <c r="F9" s="2" t="inlineStr">
        <is>
          <t>Operational criteria for power curtailment for all plants</t>
        </is>
      </c>
      <c r="G9" s="2" t="inlineStr">
        <is>
          <t>in_progress</t>
        </is>
      </c>
      <c r="H9" s="2" t="inlineStr">
        <is>
          <t>Tema da CP 45/2019. O resultado da CP foi retirado da pauta da reunião de Diretoria da ANEEL do dia 16/06 e será discutido em reunião extraordinária no dia 22/06.</t>
        </is>
      </c>
      <c r="I9" s="2" t="inlineStr">
        <is>
          <t>Subject of CP 45/2019. The outcome of the CP will be discussed during an extraordinary meeting scheduled for June 22nd, 2026.</t>
        </is>
      </c>
      <c r="J9" s="2" t="n"/>
      <c r="K9" s="2" t="n">
        <v>5</v>
      </c>
      <c r="L9" s="2" t="inlineStr">
        <is>
          <t>TRUE</t>
        </is>
      </c>
      <c r="M9" s="2" t="inlineStr">
        <is>
          <t>curtailment; cp45; aneel</t>
        </is>
      </c>
    </row>
    <row r="10" ht="55.2" customHeight="1" s="30">
      <c r="A10" s="2" t="n">
        <v>6</v>
      </c>
      <c r="B10" s="2" t="n">
        <v>1</v>
      </c>
      <c r="C10" s="2" t="inlineStr">
        <is>
          <t>pendencias-regulatorias-aneel</t>
        </is>
      </c>
      <c r="D10" s="2" t="inlineStr">
        <is>
          <t>ANEEL</t>
        </is>
      </c>
      <c r="E10" s="2" t="inlineStr">
        <is>
          <t>Open Energy</t>
        </is>
      </c>
      <c r="F10" s="2" t="inlineStr">
        <is>
          <t>Open Energy</t>
        </is>
      </c>
      <c r="G10" s="2" t="inlineStr">
        <is>
          <t>waiting_decision</t>
        </is>
      </c>
      <c r="H10" s="2" t="inlineStr">
        <is>
          <t>Tema da CP 07/2025. A Nota Técnica 17/2025 com o resultado da CP será levada para decisão da Diretoria da ANEEL. O tema foi retirado da pauta da reunião da Diretoria da ANEEL do dia 16/06.</t>
        </is>
      </c>
      <c r="I10" s="2" t="inlineStr">
        <is>
          <t>Subject of CP 07/2025. Technical Note 17/2025 will be submitted to ANEEL’s Board of Directors.</t>
        </is>
      </c>
      <c r="J10" s="2" t="n"/>
      <c r="K10" s="2" t="n">
        <v>6</v>
      </c>
      <c r="L10" s="2" t="inlineStr">
        <is>
          <t>TRUE</t>
        </is>
      </c>
      <c r="M10" s="2" t="inlineStr">
        <is>
          <t>open-energy; aneel</t>
        </is>
      </c>
    </row>
    <row r="11" ht="55.2" customHeight="1" s="30">
      <c r="A11" s="2" t="n">
        <v>7</v>
      </c>
      <c r="B11" s="2" t="n">
        <v>1</v>
      </c>
      <c r="C11" s="2" t="inlineStr">
        <is>
          <t>pendencias-regulatorias-aneel</t>
        </is>
      </c>
      <c r="D11" s="2" t="inlineStr">
        <is>
          <t>ANEEL</t>
        </is>
      </c>
      <c r="E11" s="2" t="inlineStr">
        <is>
          <t>Aperfeiçoamento do processo de monitoramento do mercado (segurança de mercado)</t>
        </is>
      </c>
      <c r="F11" s="2" t="inlineStr">
        <is>
          <t>Improvement of the market monitoring process (market security)</t>
        </is>
      </c>
      <c r="G11" s="2" t="inlineStr">
        <is>
          <t>in_progress</t>
        </is>
      </c>
      <c r="H11" s="2" t="inlineStr">
        <is>
          <t>Tema das CP 33/2025 e CP 17/2026. Próximos passos: está aberta para contribuições até o dia 03/08 a CP 17/2026 que trata do processo sancionador da CCEE.</t>
        </is>
      </c>
      <c r="I11" s="2" t="inlineStr">
        <is>
          <t>Subject of CP 33/2025 and CP 17/2026. CP No. 17/2026, which addresses CCEE’s Market Monitoring Sanctioning Process, is open for contributions until August 3rd, 2026.</t>
        </is>
      </c>
      <c r="J11" s="2" t="n"/>
      <c r="K11" s="2" t="n">
        <v>7</v>
      </c>
      <c r="L11" s="2" t="inlineStr">
        <is>
          <t>TRUE</t>
        </is>
      </c>
      <c r="M11" s="2" t="inlineStr">
        <is>
          <t>mercado; ccee; aneel</t>
        </is>
      </c>
    </row>
    <row r="12" ht="41.4" customHeight="1" s="30">
      <c r="A12" s="2" t="n">
        <v>8</v>
      </c>
      <c r="B12" s="2" t="n">
        <v>1</v>
      </c>
      <c r="C12" s="2" t="inlineStr">
        <is>
          <t>pendencias-regulatorias-aneel</t>
        </is>
      </c>
      <c r="D12" s="2" t="inlineStr">
        <is>
          <t>ANEEL</t>
        </is>
      </c>
      <c r="E12" s="2" t="inlineStr">
        <is>
          <t>Ajustes no início da cobrança do CUST para geradores com prorrogação de prazos</t>
        </is>
      </c>
      <c r="F12" s="2" t="inlineStr">
        <is>
          <t>Adjustments to the beginning of CUST charges for renewable generators with postponed commercial operation dates</t>
        </is>
      </c>
      <c r="G12" s="2" t="inlineStr">
        <is>
          <t>waiting_decision</t>
        </is>
      </c>
      <c r="H12" s="2" t="inlineStr">
        <is>
          <t>Tema da CP 08/2026, encerrada em 12 de maio. Próximos passos: a Diretoria da ANEEL discutirá os resultados da CP e uma Resolução será publicada.</t>
        </is>
      </c>
      <c r="I12" s="2" t="inlineStr">
        <is>
          <t>Subject of CP 08/2026. ANEEL’s Board will discuss CP results, and a Resolution will be published.</t>
        </is>
      </c>
      <c r="J12" s="2" t="n"/>
      <c r="K12" s="2" t="n">
        <v>8</v>
      </c>
      <c r="L12" s="2" t="inlineStr">
        <is>
          <t>TRUE</t>
        </is>
      </c>
      <c r="M12" s="2" t="inlineStr">
        <is>
          <t>cust; geração; aneel</t>
        </is>
      </c>
    </row>
    <row r="13" ht="55.2" customHeight="1" s="30">
      <c r="A13" s="2" t="n">
        <v>9</v>
      </c>
      <c r="B13" s="2" t="n">
        <v>1</v>
      </c>
      <c r="C13" s="2" t="inlineStr">
        <is>
          <t>pendencias-regulatorias-aneel</t>
        </is>
      </c>
      <c r="D13" s="2" t="inlineStr">
        <is>
          <t>ANEEL</t>
        </is>
      </c>
      <c r="E13" s="2" t="inlineStr">
        <is>
          <t>Alteração do Submódulo 5.2 do PRORET para incluir o teto da CDE, o Encargo de Complemento de Recursos e sua operacionalização</t>
        </is>
      </c>
      <c r="F13" s="2" t="inlineStr">
        <is>
          <t>CDE cap, the Resource Complement Charge, and its operationalization</t>
        </is>
      </c>
      <c r="G13" s="2" t="inlineStr">
        <is>
          <t>not_started</t>
        </is>
      </c>
      <c r="H13" s="2" t="inlineStr">
        <is>
          <t>Tema em linha com o que foi instituído pela Lei 15.269/2025. Previsão de abertura de CP em 2026.</t>
        </is>
      </c>
      <c r="I13" s="2" t="inlineStr">
        <is>
          <t>CP expected to be opened in 2026. Complies with the technical provisions established by Law 15269/2025.</t>
        </is>
      </c>
      <c r="J13" s="2" t="n"/>
      <c r="K13" s="2" t="n">
        <v>9</v>
      </c>
      <c r="L13" s="2" t="inlineStr">
        <is>
          <t>TRUE</t>
        </is>
      </c>
      <c r="M13" s="2" t="inlineStr">
        <is>
          <t>cde; proret; aneel</t>
        </is>
      </c>
    </row>
    <row r="14" ht="55.2" customHeight="1" s="30">
      <c r="A14" s="2" t="n">
        <v>10</v>
      </c>
      <c r="B14" s="2" t="n">
        <v>1</v>
      </c>
      <c r="C14" s="2" t="inlineStr">
        <is>
          <t>pendencias-regulatorias-aneel</t>
        </is>
      </c>
      <c r="D14" s="2" t="inlineStr">
        <is>
          <t>ANEEL</t>
        </is>
      </c>
      <c r="E14" s="2" t="inlineStr">
        <is>
          <t>Revisão da REN 1.031/2022, no que se refere aos descontos na tarifa de uso dos sistemas de distribuição e transmissão para fontes incentivadas</t>
        </is>
      </c>
      <c r="F14" s="2" t="inlineStr">
        <is>
          <t>Discounts on transmission and distribution wire tariffs for incentivized sources</t>
        </is>
      </c>
      <c r="G14" s="2" t="inlineStr">
        <is>
          <t>not_started</t>
        </is>
      </c>
      <c r="H14" s="2" t="inlineStr">
        <is>
          <t>Tema em linha com o que foi instituído pela Lei 15.269/2025. Previsão de abertura de CP em 2026.</t>
        </is>
      </c>
      <c r="I14" s="2" t="inlineStr">
        <is>
          <t>CP expected to be opened in 2026. Complies with the technical provisions established by Law 15269/2025.</t>
        </is>
      </c>
      <c r="J14" s="2" t="n"/>
      <c r="K14" s="2" t="n">
        <v>10</v>
      </c>
      <c r="L14" s="2" t="inlineStr">
        <is>
          <t>TRUE</t>
        </is>
      </c>
      <c r="M14" s="2" t="inlineStr">
        <is>
          <t>tusd; tust; fontes-incentivadas</t>
        </is>
      </c>
    </row>
    <row r="15" ht="41.4" customHeight="1" s="30">
      <c r="A15" s="2" t="n">
        <v>11</v>
      </c>
      <c r="B15" s="2" t="n">
        <v>1</v>
      </c>
      <c r="C15" s="2" t="inlineStr">
        <is>
          <t>pendencias-regulatorias-aneel</t>
        </is>
      </c>
      <c r="D15" s="2" t="inlineStr">
        <is>
          <t>ANEEL</t>
        </is>
      </c>
      <c r="E15" s="2" t="inlineStr">
        <is>
          <t>Aprimoramento da regulamentação com vistas ao fim do direito ao desconto na TUSD/TUST de consumidores livres</t>
        </is>
      </c>
      <c r="F15" s="2" t="inlineStr">
        <is>
          <t>End of the right to wire tariff discounts for free consumers</t>
        </is>
      </c>
      <c r="G15" s="2" t="inlineStr">
        <is>
          <t>not_started</t>
        </is>
      </c>
      <c r="H15" s="2" t="inlineStr">
        <is>
          <t>Tema em linha com o que foi instituído pela Lei 15.269/2025. Previsão de abertura de CP em 2026.</t>
        </is>
      </c>
      <c r="I15" s="2" t="inlineStr">
        <is>
          <t>CP expected to be opened in 2026. Complies with the technical provisions established by Law 15269/2025.</t>
        </is>
      </c>
      <c r="J15" s="2" t="n"/>
      <c r="K15" s="2" t="n">
        <v>11</v>
      </c>
      <c r="L15" s="2" t="inlineStr">
        <is>
          <t>TRUE</t>
        </is>
      </c>
      <c r="M15" s="2" t="inlineStr">
        <is>
          <t>mercado-livre; tusd; tust</t>
        </is>
      </c>
    </row>
    <row r="16" ht="41.4" customHeight="1" s="30">
      <c r="A16" s="2" t="n">
        <v>12</v>
      </c>
      <c r="B16" s="2" t="n">
        <v>1</v>
      </c>
      <c r="C16" s="2" t="inlineStr">
        <is>
          <t>pendencias-regulatorias-aneel</t>
        </is>
      </c>
      <c r="D16" s="2" t="inlineStr">
        <is>
          <t>ANEEL</t>
        </is>
      </c>
      <c r="E16" s="2" t="inlineStr">
        <is>
          <t>Atualização da metodologia de cálculo dos limites máximos do Preço de Liquidação das Diferenças – PLD</t>
        </is>
      </c>
      <c r="F16" s="2" t="inlineStr">
        <is>
          <t>Update of the methodology for calculating the maximum limits of the Spot Price (PLD)</t>
        </is>
      </c>
      <c r="G16" s="2" t="inlineStr">
        <is>
          <t>not_started</t>
        </is>
      </c>
      <c r="H16" s="2" t="inlineStr">
        <is>
          <t>Previsão de abertura de CP em 2026.</t>
        </is>
      </c>
      <c r="I16" s="2" t="inlineStr">
        <is>
          <t>CP expected to be opened in 2026.</t>
        </is>
      </c>
      <c r="J16" s="2" t="n"/>
      <c r="K16" s="2" t="n">
        <v>12</v>
      </c>
      <c r="L16" s="2" t="inlineStr">
        <is>
          <t>TRUE</t>
        </is>
      </c>
      <c r="M16" s="2" t="inlineStr">
        <is>
          <t>pld; preços</t>
        </is>
      </c>
    </row>
    <row r="17" ht="27.6" customHeight="1" s="30">
      <c r="A17" s="2" t="n">
        <v>13</v>
      </c>
      <c r="B17" s="2" t="n">
        <v>1</v>
      </c>
      <c r="C17" s="2" t="inlineStr">
        <is>
          <t>pendencias-regulatorias-aneel</t>
        </is>
      </c>
      <c r="D17" s="2" t="inlineStr">
        <is>
          <t>ANEEL</t>
        </is>
      </c>
      <c r="E17" s="2" t="inlineStr">
        <is>
          <t>Aprimoramento das Regras de Comercialização 2027</t>
        </is>
      </c>
      <c r="F17" s="2" t="inlineStr">
        <is>
          <t>Commercialization Rules version 2027</t>
        </is>
      </c>
      <c r="G17" s="2" t="inlineStr">
        <is>
          <t>not_started</t>
        </is>
      </c>
      <c r="H17" s="2" t="inlineStr">
        <is>
          <t>Previsão de abertura de CP em 2026.</t>
        </is>
      </c>
      <c r="I17" s="2" t="inlineStr">
        <is>
          <t>CP expected to be opened in 2026.</t>
        </is>
      </c>
      <c r="J17" s="2" t="n"/>
      <c r="K17" s="2" t="n">
        <v>13</v>
      </c>
      <c r="L17" s="2" t="inlineStr">
        <is>
          <t>TRUE</t>
        </is>
      </c>
      <c r="M17" s="2" t="inlineStr">
        <is>
          <t>regras; ccee</t>
        </is>
      </c>
    </row>
    <row r="18" ht="41.4" customHeight="1" s="30">
      <c r="A18" s="2" t="n">
        <v>14</v>
      </c>
      <c r="B18" s="2" t="n">
        <v>1</v>
      </c>
      <c r="C18" s="2" t="inlineStr">
        <is>
          <t>pendencias-regulatorias-aneel</t>
        </is>
      </c>
      <c r="D18" s="2" t="inlineStr">
        <is>
          <t>ANEEL</t>
        </is>
      </c>
      <c r="E18" s="2" t="inlineStr">
        <is>
          <t>Avaliação quanto a inversão de Fluxo da MMGD no âmbito da contabilização e liquidação da CCEE</t>
        </is>
      </c>
      <c r="F18" s="2" t="inlineStr">
        <is>
          <t>Distributed Generation (MMGD) flow reversal within the scope of CCEE accounting and settlement</t>
        </is>
      </c>
      <c r="G18" s="2" t="inlineStr">
        <is>
          <t>not_started</t>
        </is>
      </c>
      <c r="H18" s="2" t="inlineStr">
        <is>
          <t>Previsão de abertura de CP em 2026.</t>
        </is>
      </c>
      <c r="I18" s="2" t="inlineStr">
        <is>
          <t>CP expected to be opened in 2026.</t>
        </is>
      </c>
      <c r="J18" s="2" t="n"/>
      <c r="K18" s="2" t="n">
        <v>14</v>
      </c>
      <c r="L18" s="2" t="inlineStr">
        <is>
          <t>TRUE</t>
        </is>
      </c>
      <c r="M18" s="2" t="inlineStr">
        <is>
          <t>mmgd; ccee</t>
        </is>
      </c>
    </row>
    <row r="19" ht="41.4" customHeight="1" s="30">
      <c r="A19" s="2" t="n">
        <v>15</v>
      </c>
      <c r="B19" s="2" t="n">
        <v>1</v>
      </c>
      <c r="C19" s="2" t="inlineStr">
        <is>
          <t>pendencias-regulatorias-aneel</t>
        </is>
      </c>
      <c r="D19" s="2" t="inlineStr">
        <is>
          <t>ANEEL</t>
        </is>
      </c>
      <c r="E19" s="2" t="inlineStr">
        <is>
          <t>Avaliação das metodologias de cálculo do PLD mínimo e de definição da Tarifa de Energia de Otimização – TEO</t>
        </is>
      </c>
      <c r="F19" s="2" t="inlineStr">
        <is>
          <t>Methodologies for calculating the minimum PLD and Energy Optimization Tariff (TEO)</t>
        </is>
      </c>
      <c r="G19" s="2" t="inlineStr">
        <is>
          <t>not_started</t>
        </is>
      </c>
      <c r="H19" s="2" t="inlineStr">
        <is>
          <t>Previsão de abertura de CP em 2026.</t>
        </is>
      </c>
      <c r="I19" s="2" t="inlineStr">
        <is>
          <t>CP expected to be opened in 2026.</t>
        </is>
      </c>
      <c r="J19" s="2" t="n"/>
      <c r="K19" s="2" t="n">
        <v>15</v>
      </c>
      <c r="L19" s="2" t="inlineStr">
        <is>
          <t>TRUE</t>
        </is>
      </c>
      <c r="M19" s="2" t="inlineStr">
        <is>
          <t>pld; teo</t>
        </is>
      </c>
    </row>
    <row r="20" ht="55.2" customHeight="1" s="30">
      <c r="A20" s="2" t="n">
        <v>16</v>
      </c>
      <c r="B20" s="2" t="n">
        <v>1</v>
      </c>
      <c r="C20" s="2" t="inlineStr">
        <is>
          <t>pendencias-regulatorias-aneel</t>
        </is>
      </c>
      <c r="D20" s="2" t="inlineStr">
        <is>
          <t>ANEEL</t>
        </is>
      </c>
      <c r="E20" s="2" t="inlineStr">
        <is>
          <t>Aprimoramento da regulamentação para que a liquidação no MCP utilize o mecanismo de dupla contabilização (PLD ex-ante e ex-post)</t>
        </is>
      </c>
      <c r="F20" s="2" t="inlineStr">
        <is>
          <t>Settlement of the short-term market using the dual accounting mechanism (ex-ante and ex-post PLD)</t>
        </is>
      </c>
      <c r="G20" s="2" t="inlineStr">
        <is>
          <t>not_started</t>
        </is>
      </c>
      <c r="H20" s="2" t="inlineStr">
        <is>
          <t>Previsão de abertura de CP em 2026.</t>
        </is>
      </c>
      <c r="I20" s="2" t="inlineStr">
        <is>
          <t>CP expected to be opened in 2026.</t>
        </is>
      </c>
      <c r="J20" s="2" t="n"/>
      <c r="K20" s="2" t="n">
        <v>16</v>
      </c>
      <c r="L20" s="2" t="inlineStr">
        <is>
          <t>TRUE</t>
        </is>
      </c>
      <c r="M20" s="2" t="inlineStr">
        <is>
          <t>mcp; pld</t>
        </is>
      </c>
    </row>
    <row r="21" ht="27.6" customHeight="1" s="30">
      <c r="A21" s="2" t="n">
        <v>17</v>
      </c>
      <c r="B21" s="2" t="n">
        <v>1</v>
      </c>
      <c r="C21" s="2" t="inlineStr">
        <is>
          <t>pendencias-regulatorias-aneel</t>
        </is>
      </c>
      <c r="D21" s="2" t="inlineStr">
        <is>
          <t>ANEEL</t>
        </is>
      </c>
      <c r="E21" s="2" t="inlineStr">
        <is>
          <t>Aprimoramento do Rateio dos custos de Reserva de Capacidade</t>
        </is>
      </c>
      <c r="F21" s="2" t="inlineStr">
        <is>
          <t>Allocation of Capacity Reserve costs</t>
        </is>
      </c>
      <c r="G21" s="2" t="inlineStr">
        <is>
          <t>not_started</t>
        </is>
      </c>
      <c r="H21" s="2" t="inlineStr">
        <is>
          <t>Previsão de abertura de CP em 2027.</t>
        </is>
      </c>
      <c r="I21" s="2" t="inlineStr">
        <is>
          <t>CP expected to be opened in 2027.</t>
        </is>
      </c>
      <c r="J21" s="2" t="n"/>
      <c r="K21" s="2" t="n">
        <v>17</v>
      </c>
      <c r="L21" s="2" t="inlineStr">
        <is>
          <t>TRUE</t>
        </is>
      </c>
      <c r="M21" s="2" t="inlineStr">
        <is>
          <t>reserva-de-capacidade</t>
        </is>
      </c>
    </row>
    <row r="22" ht="27.6" customHeight="1" s="30">
      <c r="A22" s="2" t="n">
        <v>18</v>
      </c>
      <c r="B22" s="2" t="n">
        <v>1</v>
      </c>
      <c r="C22" s="2" t="inlineStr">
        <is>
          <t>pendencias-regulatorias-aneel</t>
        </is>
      </c>
      <c r="D22" s="2" t="inlineStr">
        <is>
          <t>ANEEL</t>
        </is>
      </c>
      <c r="E22" s="2" t="inlineStr">
        <is>
          <t>Aprimoramentos regulatórios relacionados à abertura do mercado para o Grupo B</t>
        </is>
      </c>
      <c r="F22" s="2" t="inlineStr">
        <is>
          <t>Market opening for Group B consumers</t>
        </is>
      </c>
      <c r="G22" s="2" t="inlineStr">
        <is>
          <t>not_started</t>
        </is>
      </c>
      <c r="H22" s="2" t="inlineStr">
        <is>
          <t>Tema em linha com o que foi instituído pela Lei 15.269/2025. Previsão de abertura de CP em 2027.</t>
        </is>
      </c>
      <c r="I22" s="2" t="inlineStr">
        <is>
          <t>CP expected to be opened in 2026. Complies with Law 15,269/2025.</t>
        </is>
      </c>
      <c r="J22" s="2" t="n"/>
      <c r="K22" s="2" t="n">
        <v>18</v>
      </c>
      <c r="L22" s="2" t="inlineStr">
        <is>
          <t>TRUE</t>
        </is>
      </c>
      <c r="M22" s="2" t="inlineStr">
        <is>
          <t>mercado-livre; grupo-b</t>
        </is>
      </c>
    </row>
    <row r="23" ht="27.6" customHeight="1" s="30">
      <c r="A23" s="2" t="n">
        <v>19</v>
      </c>
      <c r="B23" s="2" t="n">
        <v>1</v>
      </c>
      <c r="C23" s="2" t="inlineStr">
        <is>
          <t>pendencias-regulatorias-aneel</t>
        </is>
      </c>
      <c r="D23" s="2" t="inlineStr">
        <is>
          <t>ANEEL</t>
        </is>
      </c>
      <c r="E23" s="2" t="inlineStr">
        <is>
          <t>Aprimoramento das regras de acesso ao sistema de transmissão</t>
        </is>
      </c>
      <c r="F23" s="2" t="inlineStr">
        <is>
          <t>Transmission system access rules</t>
        </is>
      </c>
      <c r="G23" s="2" t="inlineStr">
        <is>
          <t>not_started</t>
        </is>
      </c>
      <c r="H23" s="2" t="inlineStr">
        <is>
          <t>Previsão de abertura de CP em 2027.</t>
        </is>
      </c>
      <c r="I23" s="2" t="inlineStr">
        <is>
          <t>CP expected to be opened in 2027.</t>
        </is>
      </c>
      <c r="J23" s="2" t="n"/>
      <c r="K23" s="2" t="n">
        <v>19</v>
      </c>
      <c r="L23" s="2" t="inlineStr">
        <is>
          <t>TRUE</t>
        </is>
      </c>
      <c r="M23" s="2" t="inlineStr">
        <is>
          <t>transmissao; acesso</t>
        </is>
      </c>
    </row>
    <row r="24" ht="55.2" customHeight="1" s="30">
      <c r="A24" s="2" t="n">
        <v>20</v>
      </c>
      <c r="B24" s="2" t="n">
        <v>2</v>
      </c>
      <c r="C24" s="2" t="inlineStr">
        <is>
          <t>pendencias-regulatorias-aneel</t>
        </is>
      </c>
      <c r="D24" s="2" t="inlineStr">
        <is>
          <t>ANEEL</t>
        </is>
      </c>
      <c r="E24" s="2" t="inlineStr">
        <is>
          <t>Regulação para sistemas de armazenamento (incluindo baterias e usinas reversíveis de bombeamento)</t>
        </is>
      </c>
      <c r="F24" s="2" t="inlineStr">
        <is>
          <t>Regulation for storage systems (including BESS and pumped hydro plants)</t>
        </is>
      </c>
      <c r="G24" s="2" t="inlineStr">
        <is>
          <t>completed</t>
        </is>
      </c>
      <c r="H24" s="2" t="inlineStr">
        <is>
          <t>Tema da CP 39/2023. A Diretoria da ANEEL aprovou a regulamentação dos BESS e usinas reversíveis por meio das RENs 1.161/2026 e 1.162/2026, que aguardam publicação.</t>
        </is>
      </c>
      <c r="I24" s="2" t="inlineStr">
        <is>
          <t>Subject of CP 39/2023. ANEEL approved new regulations for BESS and pumped-storage hydro plants through Resolutions 1161/2026 and 1162/2026, not yet officially published.</t>
        </is>
      </c>
      <c r="J24" s="2" t="n"/>
      <c r="K24" s="2" t="n">
        <v>1</v>
      </c>
      <c r="L24" s="2" t="inlineStr">
        <is>
          <t>TRUE</t>
        </is>
      </c>
      <c r="M24" s="2" t="inlineStr">
        <is>
          <t>baterias; armazenamento; aneel</t>
        </is>
      </c>
    </row>
    <row r="25" ht="41.4" customHeight="1" s="30">
      <c r="A25" s="2" t="n">
        <v>21</v>
      </c>
      <c r="B25" s="2" t="n">
        <v>2</v>
      </c>
      <c r="C25" s="2" t="inlineStr">
        <is>
          <t>pendencias-regulatorias-aneel</t>
        </is>
      </c>
      <c r="D25" s="2" t="inlineStr">
        <is>
          <t>ANEEL</t>
        </is>
      </c>
      <c r="E25" s="2" t="inlineStr">
        <is>
          <t>Pagamento de encargos de constrained-off para usinas hidrelétricas</t>
        </is>
      </c>
      <c r="F25" s="2" t="inlineStr">
        <is>
          <t>Payment of constrained off charges for hydroelectric plants</t>
        </is>
      </c>
      <c r="G25" s="2" t="inlineStr">
        <is>
          <t>started</t>
        </is>
      </c>
      <c r="H25" s="2" t="inlineStr">
        <is>
          <t>A ANEEL iniciou discussões internas sobre o tema. Uma CP deve ser aberta no 1º semestre de 2026.</t>
        </is>
      </c>
      <c r="I25" s="2" t="inlineStr">
        <is>
          <t>ANEEL has started internal discussions on the subject. A new CP is expected to take place in the first half of 2026.</t>
        </is>
      </c>
      <c r="J25" s="2" t="n"/>
      <c r="K25" s="2" t="n">
        <v>2</v>
      </c>
      <c r="L25" s="2" t="inlineStr">
        <is>
          <t>TRUE</t>
        </is>
      </c>
      <c r="M25" s="2" t="inlineStr">
        <is>
          <t>curtailment; hidreletricas; aneel</t>
        </is>
      </c>
    </row>
    <row r="26" ht="27.6" customHeight="1" s="30">
      <c r="A26" s="2" t="n">
        <v>22</v>
      </c>
      <c r="B26" s="2" t="n">
        <v>2</v>
      </c>
      <c r="C26" s="2" t="inlineStr">
        <is>
          <t>pendencias-regulatorias-aneel</t>
        </is>
      </c>
      <c r="D26" s="2" t="inlineStr">
        <is>
          <t>ANEEL</t>
        </is>
      </c>
      <c r="E26" s="2" t="inlineStr">
        <is>
          <t>Modernização das tarifas de distribuição - Ciclo 1</t>
        </is>
      </c>
      <c r="F26" s="2" t="inlineStr">
        <is>
          <t>Modernization of Distribution Tariffs – Cycle 1</t>
        </is>
      </c>
      <c r="G26" s="2" t="inlineStr">
        <is>
          <t>in_progress</t>
        </is>
      </c>
      <c r="H26" s="2" t="inlineStr">
        <is>
          <t>Tema da CP 16/2026. A CP está aberta para contribuições até 8 de agosto.</t>
        </is>
      </c>
      <c r="I26" s="2" t="inlineStr">
        <is>
          <t>Subject of CP 16/2026. CP is open for contributions until August 8th, 2026.</t>
        </is>
      </c>
      <c r="J26" s="2" t="n"/>
      <c r="K26" s="2" t="n">
        <v>3</v>
      </c>
      <c r="L26" s="2" t="inlineStr">
        <is>
          <t>TRUE</t>
        </is>
      </c>
      <c r="M26" s="2" t="inlineStr">
        <is>
          <t>tarifas; distribuição; aneel</t>
        </is>
      </c>
    </row>
    <row r="27" ht="55.2" customHeight="1" s="30">
      <c r="A27" s="2" t="n">
        <v>23</v>
      </c>
      <c r="B27" s="2" t="n">
        <v>2</v>
      </c>
      <c r="C27" s="2" t="inlineStr">
        <is>
          <t>pendencias-regulatorias-aneel</t>
        </is>
      </c>
      <c r="D27" s="2" t="inlineStr">
        <is>
          <t>ANEEL</t>
        </is>
      </c>
      <c r="E27" s="2" t="inlineStr">
        <is>
          <t>Aprimoramento da regulamentação para atendimento aos critérios para autoprodução, inclusive por equiparação</t>
        </is>
      </c>
      <c r="F27" s="2" t="inlineStr">
        <is>
          <t>Improvements of criteria for self-generation</t>
        </is>
      </c>
      <c r="G27" s="2" t="inlineStr">
        <is>
          <t>started</t>
        </is>
      </c>
      <c r="H27" s="2" t="inlineStr">
        <is>
          <t>Previsão de abertura de CP em 2026. Os procedimentos às alterações na Lei nº 9.074/1995 estabelecidas pela Lei nº 15.269/2025 serão discutidos pela Diretoria da ANEEL em reunião no dia 30/06.</t>
        </is>
      </c>
      <c r="I27" s="2" t="inlineStr">
        <is>
          <t>CP expected to be opened in 2026. On June 30th, ANEEL’s Board will discuss the procedures for implementing the amendments introduced by Law 15269/2025.</t>
        </is>
      </c>
      <c r="J27" s="2" t="n"/>
      <c r="K27" s="2" t="n">
        <v>4</v>
      </c>
      <c r="L27" s="2" t="inlineStr">
        <is>
          <t>TRUE</t>
        </is>
      </c>
      <c r="M27" s="2" t="inlineStr">
        <is>
          <t>autoproducao; aneel</t>
        </is>
      </c>
    </row>
    <row r="28" ht="82.8" customHeight="1" s="30">
      <c r="A28" s="2" t="n">
        <v>24</v>
      </c>
      <c r="B28" s="2" t="n">
        <v>2</v>
      </c>
      <c r="C28" s="2" t="inlineStr">
        <is>
          <t>pendencias-regulatorias-aneel</t>
        </is>
      </c>
      <c r="D28" s="2" t="inlineStr">
        <is>
          <t>ANEEL</t>
        </is>
      </c>
      <c r="E28" s="2" t="inlineStr">
        <is>
          <t>Critérios operacionais para curtailment de usinas</t>
        </is>
      </c>
      <c r="F28" s="2" t="inlineStr">
        <is>
          <t>Operational criteria for power curtailment for all plants</t>
        </is>
      </c>
      <c r="G28" s="2" t="inlineStr">
        <is>
          <t>in_progress</t>
        </is>
      </c>
      <c r="H28" s="2" t="inlineStr">
        <is>
          <t>Tema da CP 45/2019. O resultado da CP foi discutido pela Diretoria da ANEEL em reunião extraordinária no dia 22/06. O Diretor Fernando Mosna pediu vista do processo, indicando dúvidas sobre os efeitos econômicos da metodologia em discussão para aprovação.</t>
        </is>
      </c>
      <c r="I28" s="2" t="inlineStr">
        <is>
          <t>Subject of CP 45/2019. The outcome was discussed by ANEEL’s Board on June 22nd. Final decision was postponed after Director Fernando Mosna requested additional time to review the proposal, citing concerns about its economic impacts.</t>
        </is>
      </c>
      <c r="J28" s="2" t="n"/>
      <c r="K28" s="2" t="n">
        <v>5</v>
      </c>
      <c r="L28" s="2" t="inlineStr">
        <is>
          <t>TRUE</t>
        </is>
      </c>
      <c r="M28" s="2" t="inlineStr">
        <is>
          <t>curtailment; cp45; aneel</t>
        </is>
      </c>
    </row>
    <row r="29" ht="55.2" customHeight="1" s="30">
      <c r="A29" s="2" t="n">
        <v>25</v>
      </c>
      <c r="B29" s="2" t="n">
        <v>2</v>
      </c>
      <c r="C29" s="2" t="inlineStr">
        <is>
          <t>pendencias-regulatorias-aneel</t>
        </is>
      </c>
      <c r="D29" s="2" t="inlineStr">
        <is>
          <t>ANEEL</t>
        </is>
      </c>
      <c r="E29" s="2" t="inlineStr">
        <is>
          <t>Open Energy</t>
        </is>
      </c>
      <c r="F29" s="2" t="inlineStr">
        <is>
          <t>Open Energy</t>
        </is>
      </c>
      <c r="G29" s="2" t="inlineStr">
        <is>
          <t>waiting_decision</t>
        </is>
      </c>
      <c r="H29" s="2" t="inlineStr">
        <is>
          <t>Tema da CP 07/2025. A Nota Técnica 17/2025 com o resultado da CP será levada para decisão da Diretoria da ANEEL. O tema foi retirado da pauta da reunião da Diretoria da ANEEL do dia 16/06.</t>
        </is>
      </c>
      <c r="I29" s="2" t="inlineStr">
        <is>
          <t>Subject of CP 07/2025. Technical Note 17/2025 will be submitted to ANEEL’s Board of Directors.</t>
        </is>
      </c>
      <c r="J29" s="2" t="n"/>
      <c r="K29" s="2" t="n">
        <v>6</v>
      </c>
      <c r="L29" s="2" t="inlineStr">
        <is>
          <t>TRUE</t>
        </is>
      </c>
      <c r="M29" s="2" t="inlineStr">
        <is>
          <t>open-energy; aneel</t>
        </is>
      </c>
    </row>
    <row r="30" ht="55.2" customHeight="1" s="30">
      <c r="A30" s="2" t="n">
        <v>26</v>
      </c>
      <c r="B30" s="2" t="n">
        <v>2</v>
      </c>
      <c r="C30" s="2" t="inlineStr">
        <is>
          <t>pendencias-regulatorias-aneel</t>
        </is>
      </c>
      <c r="D30" s="2" t="inlineStr">
        <is>
          <t>ANEEL</t>
        </is>
      </c>
      <c r="E30" s="2" t="inlineStr">
        <is>
          <t>Aperfeiçoamento do processo de monitoramento do mercado (segurança de mercado)</t>
        </is>
      </c>
      <c r="F30" s="2" t="inlineStr">
        <is>
          <t>Improvement of the market monitoring process (market security)</t>
        </is>
      </c>
      <c r="G30" s="2" t="inlineStr">
        <is>
          <t>in_progress</t>
        </is>
      </c>
      <c r="H30" s="2" t="inlineStr">
        <is>
          <t>Tema das CP 33/2025 e CP 17/2026. Próximos passos: está aberta para contribuições até o dia 03/08 a CP 17/2026 que trata do processo sancionador da CCEE.</t>
        </is>
      </c>
      <c r="I30" s="2" t="inlineStr">
        <is>
          <t>Subject of CP 33/2025 and CP 17/2026. CP No. 17/2026, which addresses CCEE’s Market Monitoring Sanctioning Process, is open for contributions until August 3rd, 2026.</t>
        </is>
      </c>
      <c r="J30" s="2" t="n"/>
      <c r="K30" s="2" t="n">
        <v>7</v>
      </c>
      <c r="L30" s="2" t="inlineStr">
        <is>
          <t>TRUE</t>
        </is>
      </c>
      <c r="M30" s="2" t="inlineStr">
        <is>
          <t>mercado; ccee; aneel</t>
        </is>
      </c>
    </row>
    <row r="31" ht="41.4" customHeight="1" s="30">
      <c r="A31" s="2" t="n">
        <v>27</v>
      </c>
      <c r="B31" s="2" t="n">
        <v>2</v>
      </c>
      <c r="C31" s="2" t="inlineStr">
        <is>
          <t>pendencias-regulatorias-aneel</t>
        </is>
      </c>
      <c r="D31" s="2" t="inlineStr">
        <is>
          <t>ANEEL</t>
        </is>
      </c>
      <c r="E31" s="2" t="inlineStr">
        <is>
          <t>Ajustes no início da cobrança do CUST para geradores com prorrogação de prazos</t>
        </is>
      </c>
      <c r="F31" s="2" t="inlineStr">
        <is>
          <t>Adjustments to the beginning of CUST charges for renewable generators with postponed commercial operation dates</t>
        </is>
      </c>
      <c r="G31" s="2" t="inlineStr">
        <is>
          <t>waiting_decision</t>
        </is>
      </c>
      <c r="H31" s="2" t="inlineStr">
        <is>
          <t>Tema da CP 08/2026, encerrada em 12 de maio. Próximos passos: a Diretoria da ANEEL discutirá os resultados da CP e uma Resolução será publicada.</t>
        </is>
      </c>
      <c r="I31" s="2" t="inlineStr">
        <is>
          <t>Subject of CP 08/2026. ANEEL’s Board will discuss CP results, and a Resolution will be published.</t>
        </is>
      </c>
      <c r="J31" s="2" t="n"/>
      <c r="K31" s="2" t="n">
        <v>8</v>
      </c>
      <c r="L31" s="2" t="inlineStr">
        <is>
          <t>TRUE</t>
        </is>
      </c>
      <c r="M31" s="2" t="inlineStr">
        <is>
          <t>cust; geração; aneel</t>
        </is>
      </c>
    </row>
    <row r="32" ht="55.2" customHeight="1" s="30">
      <c r="A32" s="2" t="n">
        <v>28</v>
      </c>
      <c r="B32" s="2" t="n">
        <v>2</v>
      </c>
      <c r="C32" s="2" t="inlineStr">
        <is>
          <t>pendencias-regulatorias-aneel</t>
        </is>
      </c>
      <c r="D32" s="2" t="inlineStr">
        <is>
          <t>ANEEL</t>
        </is>
      </c>
      <c r="E32" s="2" t="inlineStr">
        <is>
          <t>Liquidação dos Encargos de Uso do Sistema de Transmissão - EUST</t>
        </is>
      </c>
      <c r="F32" s="2" t="inlineStr">
        <is>
          <t>Enhancement of the Settlement of Transmission System Usage Charges (EUST)</t>
        </is>
      </c>
      <c r="G32" s="2" t="inlineStr">
        <is>
          <t>in_progress</t>
        </is>
      </c>
      <c r="H32" s="2" t="inlineStr">
        <is>
          <t>Resultado da CP 75/2020. Próximos passos: o ONS tem até 01/07/2027 para concluir a implementação de plataforma única para liquidação financeira do EUST, conforme Despacho 1.442/2025.</t>
        </is>
      </c>
      <c r="I32" s="2" t="inlineStr">
        <is>
          <t>Decision published under ANEEL Order 1442/2025. Next steps: ONS to deploy a single platform for the financial settlement of EUST by July 1st, 2027.</t>
        </is>
      </c>
      <c r="J32" s="2" t="n"/>
      <c r="K32" s="2" t="n">
        <v>9</v>
      </c>
      <c r="L32" s="2" t="inlineStr">
        <is>
          <t>TRUE</t>
        </is>
      </c>
      <c r="M32" s="2" t="inlineStr">
        <is>
          <t>eust; transmissão; ons; aneel</t>
        </is>
      </c>
    </row>
    <row r="33" ht="55.2" customHeight="1" s="30">
      <c r="A33" s="2" t="n">
        <v>29</v>
      </c>
      <c r="B33" s="2" t="n">
        <v>2</v>
      </c>
      <c r="C33" s="2" t="inlineStr">
        <is>
          <t>pendencias-regulatorias-aneel</t>
        </is>
      </c>
      <c r="D33" s="2" t="inlineStr">
        <is>
          <t>ANEEL</t>
        </is>
      </c>
      <c r="E33" s="2" t="inlineStr">
        <is>
          <t>Alteração do Submódulo 5.2 do PRORET para incluir o teto da CDE, o Encargo de Complemento de Recursos e sua operacionalização</t>
        </is>
      </c>
      <c r="F33" s="2" t="inlineStr">
        <is>
          <t>CDE cap, the Resource Complement Charge, and its operationalization</t>
        </is>
      </c>
      <c r="G33" s="2" t="inlineStr">
        <is>
          <t>not_started</t>
        </is>
      </c>
      <c r="H33" s="2" t="inlineStr">
        <is>
          <t>Tema em linha com o que foi instituído pela Lei 15.269/2025. Previsão de abertura de CP em 2026.</t>
        </is>
      </c>
      <c r="I33" s="2" t="inlineStr">
        <is>
          <t>CP expected to be opened in 2026. Complies with the technical provisions established by Law 15269/2025.</t>
        </is>
      </c>
      <c r="J33" s="2" t="n"/>
      <c r="K33" s="2" t="n">
        <v>10</v>
      </c>
      <c r="L33" s="2" t="inlineStr">
        <is>
          <t>TRUE</t>
        </is>
      </c>
      <c r="M33" s="2" t="inlineStr">
        <is>
          <t>cde; proret; aneel</t>
        </is>
      </c>
    </row>
    <row r="34" ht="55.2" customHeight="1" s="30">
      <c r="A34" s="2" t="n">
        <v>30</v>
      </c>
      <c r="B34" s="2" t="n">
        <v>2</v>
      </c>
      <c r="C34" s="2" t="inlineStr">
        <is>
          <t>pendencias-regulatorias-aneel</t>
        </is>
      </c>
      <c r="D34" s="2" t="inlineStr">
        <is>
          <t>ANEEL</t>
        </is>
      </c>
      <c r="E34" s="2" t="inlineStr">
        <is>
          <t>Revisão da REN 1.031/2022, no que se refere aos descontos na tarifa de uso dos sistemas de distribuição e transmissão para fontes incentivadas</t>
        </is>
      </c>
      <c r="F34" s="2" t="inlineStr">
        <is>
          <t>Discounts on transmission and distribution wire tariffs for incentivized sources</t>
        </is>
      </c>
      <c r="G34" s="2" t="inlineStr">
        <is>
          <t>not_started</t>
        </is>
      </c>
      <c r="H34" s="2" t="inlineStr">
        <is>
          <t>Tema em linha com o que foi instituído pela Lei 15.269/2025. Previsão de abertura de CP em 2026.</t>
        </is>
      </c>
      <c r="I34" s="2" t="inlineStr">
        <is>
          <t>CP expected to be opened in 2026. Complies with the technical provisions established by Law 15269/2025.</t>
        </is>
      </c>
      <c r="J34" s="2" t="n"/>
      <c r="K34" s="2" t="n">
        <v>11</v>
      </c>
      <c r="L34" s="2" t="inlineStr">
        <is>
          <t>TRUE</t>
        </is>
      </c>
      <c r="M34" s="2" t="inlineStr">
        <is>
          <t>tusd; tust; fontes-incentivadas</t>
        </is>
      </c>
    </row>
    <row r="35" ht="41.4" customHeight="1" s="30">
      <c r="A35" s="2" t="n">
        <v>31</v>
      </c>
      <c r="B35" s="2" t="n">
        <v>2</v>
      </c>
      <c r="C35" s="2" t="inlineStr">
        <is>
          <t>pendencias-regulatorias-aneel</t>
        </is>
      </c>
      <c r="D35" s="2" t="inlineStr">
        <is>
          <t>ANEEL</t>
        </is>
      </c>
      <c r="E35" s="2" t="inlineStr">
        <is>
          <t>Aprimoramento da regulamentação com vistas ao fim do direito ao desconto na TUSD/TUST de consumidores livres</t>
        </is>
      </c>
      <c r="F35" s="2" t="inlineStr">
        <is>
          <t>End of the right to wire tariff discounts for free consumers</t>
        </is>
      </c>
      <c r="G35" s="2" t="inlineStr">
        <is>
          <t>not_started</t>
        </is>
      </c>
      <c r="H35" s="2" t="inlineStr">
        <is>
          <t>Tema em linha com o que foi instituído pela Lei 15.269/2025. Previsão de abertura de CP em 2026.</t>
        </is>
      </c>
      <c r="I35" s="2" t="inlineStr">
        <is>
          <t>CP expected to be opened in 2026. Complies with the technical provisions established by Law 15269/2025.</t>
        </is>
      </c>
      <c r="J35" s="2" t="n"/>
      <c r="K35" s="2" t="n">
        <v>12</v>
      </c>
      <c r="L35" s="2" t="inlineStr">
        <is>
          <t>TRUE</t>
        </is>
      </c>
      <c r="M35" s="2" t="inlineStr">
        <is>
          <t>mercado-livre; tusd; tust</t>
        </is>
      </c>
    </row>
    <row r="36" ht="41.4" customHeight="1" s="30">
      <c r="A36" s="2" t="n">
        <v>32</v>
      </c>
      <c r="B36" s="2" t="n">
        <v>2</v>
      </c>
      <c r="C36" s="2" t="inlineStr">
        <is>
          <t>pendencias-regulatorias-aneel</t>
        </is>
      </c>
      <c r="D36" s="2" t="inlineStr">
        <is>
          <t>ANEEL</t>
        </is>
      </c>
      <c r="E36" s="2" t="inlineStr">
        <is>
          <t>Atualização da metodologia de cálculo dos limites máximos do Preço de Liquidação das Diferenças – PLD</t>
        </is>
      </c>
      <c r="F36" s="2" t="inlineStr">
        <is>
          <t>Update of the methodology for calculating the maximum limits of the Spot Price (PLD)</t>
        </is>
      </c>
      <c r="G36" s="2" t="inlineStr">
        <is>
          <t>not_started</t>
        </is>
      </c>
      <c r="H36" s="2" t="inlineStr">
        <is>
          <t>Previsão de abertura de CP em 2026.</t>
        </is>
      </c>
      <c r="I36" s="2" t="inlineStr">
        <is>
          <t>CP expected to be opened in 2026.</t>
        </is>
      </c>
      <c r="J36" s="2" t="n"/>
      <c r="K36" s="2" t="n">
        <v>13</v>
      </c>
      <c r="L36" s="2" t="inlineStr">
        <is>
          <t>TRUE</t>
        </is>
      </c>
      <c r="M36" s="2" t="inlineStr">
        <is>
          <t>pld; preços</t>
        </is>
      </c>
    </row>
    <row r="37" ht="27.6" customHeight="1" s="30">
      <c r="A37" s="2" t="n">
        <v>33</v>
      </c>
      <c r="B37" s="2" t="n">
        <v>2</v>
      </c>
      <c r="C37" s="2" t="inlineStr">
        <is>
          <t>pendencias-regulatorias-aneel</t>
        </is>
      </c>
      <c r="D37" s="2" t="inlineStr">
        <is>
          <t>ANEEL</t>
        </is>
      </c>
      <c r="E37" s="2" t="inlineStr">
        <is>
          <t>Aprimoramento das Regras de Comercialização 2027</t>
        </is>
      </c>
      <c r="F37" s="2" t="inlineStr">
        <is>
          <t>Commercialization Rules version 2027</t>
        </is>
      </c>
      <c r="G37" s="2" t="inlineStr">
        <is>
          <t>not_started</t>
        </is>
      </c>
      <c r="H37" s="2" t="inlineStr">
        <is>
          <t>Previsão de abertura de CP em 2026.</t>
        </is>
      </c>
      <c r="I37" s="2" t="inlineStr">
        <is>
          <t>CP expected to be opened in 2026.</t>
        </is>
      </c>
      <c r="J37" s="2" t="n"/>
      <c r="K37" s="2" t="n">
        <v>14</v>
      </c>
      <c r="L37" s="2" t="inlineStr">
        <is>
          <t>TRUE</t>
        </is>
      </c>
      <c r="M37" s="2" t="inlineStr">
        <is>
          <t>regras; ccee</t>
        </is>
      </c>
    </row>
    <row r="38" ht="41.4" customHeight="1" s="30">
      <c r="A38" s="2" t="n">
        <v>34</v>
      </c>
      <c r="B38" s="2" t="n">
        <v>2</v>
      </c>
      <c r="C38" s="2" t="inlineStr">
        <is>
          <t>pendencias-regulatorias-aneel</t>
        </is>
      </c>
      <c r="D38" s="2" t="inlineStr">
        <is>
          <t>ANEEL</t>
        </is>
      </c>
      <c r="E38" s="2" t="inlineStr">
        <is>
          <t>Avaliação quanto a inversão de Fluxo da MMGD no âmbito da contabilização e liquidação da CCEE</t>
        </is>
      </c>
      <c r="F38" s="2" t="inlineStr">
        <is>
          <t>Distributed Generation (MMGD) flow reversal within the scope of CCEE accounting and settlement</t>
        </is>
      </c>
      <c r="G38" s="2" t="inlineStr">
        <is>
          <t>not_started</t>
        </is>
      </c>
      <c r="H38" s="2" t="inlineStr">
        <is>
          <t>Previsão de abertura de CP em 2026.</t>
        </is>
      </c>
      <c r="I38" s="2" t="inlineStr">
        <is>
          <t>CP expected to be opened in 2026.</t>
        </is>
      </c>
      <c r="J38" s="2" t="n"/>
      <c r="K38" s="2" t="n">
        <v>15</v>
      </c>
      <c r="L38" s="2" t="inlineStr">
        <is>
          <t>TRUE</t>
        </is>
      </c>
      <c r="M38" s="2" t="inlineStr">
        <is>
          <t>mmgd; ccee</t>
        </is>
      </c>
    </row>
    <row r="39" ht="41.4" customHeight="1" s="30">
      <c r="A39" s="2" t="n">
        <v>35</v>
      </c>
      <c r="B39" s="2" t="n">
        <v>2</v>
      </c>
      <c r="C39" s="2" t="inlineStr">
        <is>
          <t>pendencias-regulatorias-aneel</t>
        </is>
      </c>
      <c r="D39" s="2" t="inlineStr">
        <is>
          <t>ANEEL</t>
        </is>
      </c>
      <c r="E39" s="2" t="inlineStr">
        <is>
          <t>Avaliação das metodologias de cálculo do PLD mínimo e de definição da Tarifa de Energia de Otimização – TEO</t>
        </is>
      </c>
      <c r="F39" s="2" t="inlineStr">
        <is>
          <t>Methodologies for calculating the minimum PLD and Energy Optimization Tariff (TEO)</t>
        </is>
      </c>
      <c r="G39" s="2" t="inlineStr">
        <is>
          <t>not_started</t>
        </is>
      </c>
      <c r="H39" s="2" t="inlineStr">
        <is>
          <t>Previsão de abertura de CP em 2026.</t>
        </is>
      </c>
      <c r="I39" s="2" t="inlineStr">
        <is>
          <t>CP expected to be opened in 2026.</t>
        </is>
      </c>
      <c r="J39" s="2" t="n"/>
      <c r="K39" s="2" t="n">
        <v>16</v>
      </c>
      <c r="L39" s="2" t="inlineStr">
        <is>
          <t>TRUE</t>
        </is>
      </c>
      <c r="M39" s="2" t="inlineStr">
        <is>
          <t>pld; teo</t>
        </is>
      </c>
    </row>
    <row r="40" ht="55.2" customHeight="1" s="30">
      <c r="A40" s="2" t="n">
        <v>36</v>
      </c>
      <c r="B40" s="2" t="n">
        <v>2</v>
      </c>
      <c r="C40" s="2" t="inlineStr">
        <is>
          <t>pendencias-regulatorias-aneel</t>
        </is>
      </c>
      <c r="D40" s="2" t="inlineStr">
        <is>
          <t>ANEEL</t>
        </is>
      </c>
      <c r="E40" s="2" t="inlineStr">
        <is>
          <t>Aprimoramento da regulamentação para que a liquidação no MCP utilize o mecanismo de dupla contabilização (PLD ex-ante e ex-post)</t>
        </is>
      </c>
      <c r="F40" s="2" t="inlineStr">
        <is>
          <t>Settlement of the short-term market using the dual accounting mechanism (ex-ante and ex-post PLD)</t>
        </is>
      </c>
      <c r="G40" s="2" t="inlineStr">
        <is>
          <t>not_started</t>
        </is>
      </c>
      <c r="H40" s="2" t="inlineStr">
        <is>
          <t>Previsão de abertura de CP em 2026.</t>
        </is>
      </c>
      <c r="I40" s="2" t="inlineStr">
        <is>
          <t>CP expected to be opened in 2026.</t>
        </is>
      </c>
      <c r="J40" s="2" t="n"/>
      <c r="K40" s="2" t="n">
        <v>17</v>
      </c>
      <c r="L40" s="2" t="inlineStr">
        <is>
          <t>TRUE</t>
        </is>
      </c>
      <c r="M40" s="2" t="inlineStr">
        <is>
          <t>mcp; pld</t>
        </is>
      </c>
    </row>
    <row r="41" ht="27.6" customHeight="1" s="30">
      <c r="A41" s="2" t="n">
        <v>37</v>
      </c>
      <c r="B41" s="2" t="n">
        <v>2</v>
      </c>
      <c r="C41" s="2" t="inlineStr">
        <is>
          <t>pendencias-regulatorias-aneel</t>
        </is>
      </c>
      <c r="D41" s="2" t="inlineStr">
        <is>
          <t>ANEEL</t>
        </is>
      </c>
      <c r="E41" s="2" t="inlineStr">
        <is>
          <t>Aprimoramento do Rateio dos custos de Reserva de Capacidade</t>
        </is>
      </c>
      <c r="F41" s="2" t="inlineStr">
        <is>
          <t>Allocation of Capacity Reserve costs</t>
        </is>
      </c>
      <c r="G41" s="2" t="inlineStr">
        <is>
          <t>not_started</t>
        </is>
      </c>
      <c r="H41" s="2" t="inlineStr">
        <is>
          <t>Previsão de abertura de CP em 2027.</t>
        </is>
      </c>
      <c r="I41" s="2" t="inlineStr">
        <is>
          <t>CP expected to be opened in 2027.</t>
        </is>
      </c>
      <c r="J41" s="2" t="n"/>
      <c r="K41" s="2" t="n">
        <v>18</v>
      </c>
      <c r="L41" s="2" t="inlineStr">
        <is>
          <t>TRUE</t>
        </is>
      </c>
      <c r="M41" s="2" t="inlineStr">
        <is>
          <t>reserva-de-capacidade</t>
        </is>
      </c>
    </row>
    <row r="42" ht="27.6" customHeight="1" s="30">
      <c r="A42" s="2" t="n">
        <v>38</v>
      </c>
      <c r="B42" s="2" t="n">
        <v>2</v>
      </c>
      <c r="C42" s="2" t="inlineStr">
        <is>
          <t>pendencias-regulatorias-aneel</t>
        </is>
      </c>
      <c r="D42" s="2" t="inlineStr">
        <is>
          <t>ANEEL</t>
        </is>
      </c>
      <c r="E42" s="2" t="inlineStr">
        <is>
          <t>Aprimoramentos regulatórios relacionados à abertura do mercado para o Grupo B</t>
        </is>
      </c>
      <c r="F42" s="2" t="inlineStr">
        <is>
          <t>Market opening for Group B consumers</t>
        </is>
      </c>
      <c r="G42" s="2" t="inlineStr">
        <is>
          <t>not_started</t>
        </is>
      </c>
      <c r="H42" s="2" t="inlineStr">
        <is>
          <t>Tema em linha com o que foi instituído pela Lei 15.269/2025. Previsão de abertura de CP em 2027.</t>
        </is>
      </c>
      <c r="I42" s="2" t="inlineStr">
        <is>
          <t>CP expected to be opened in 2026. Complies with Law 15,269/2025.</t>
        </is>
      </c>
      <c r="J42" s="2" t="n"/>
      <c r="K42" s="2" t="n">
        <v>19</v>
      </c>
      <c r="L42" s="2" t="inlineStr">
        <is>
          <t>TRUE</t>
        </is>
      </c>
      <c r="M42" s="2" t="inlineStr">
        <is>
          <t>mercado-livre; grupo-b</t>
        </is>
      </c>
    </row>
    <row r="43" ht="27.6" customHeight="1" s="30">
      <c r="A43" s="2" t="n">
        <v>39</v>
      </c>
      <c r="B43" s="2" t="n">
        <v>2</v>
      </c>
      <c r="C43" s="2" t="inlineStr">
        <is>
          <t>pendencias-regulatorias-aneel</t>
        </is>
      </c>
      <c r="D43" s="2" t="inlineStr">
        <is>
          <t>ANEEL</t>
        </is>
      </c>
      <c r="E43" s="2" t="inlineStr">
        <is>
          <t>Aprimoramento das regras de acesso ao sistema de transmissão</t>
        </is>
      </c>
      <c r="F43" s="2" t="inlineStr">
        <is>
          <t>Transmission system access rules</t>
        </is>
      </c>
      <c r="G43" s="2" t="inlineStr">
        <is>
          <t>not_started</t>
        </is>
      </c>
      <c r="H43" s="2" t="inlineStr">
        <is>
          <t>Previsão de abertura de CP em 2027.</t>
        </is>
      </c>
      <c r="I43" s="2" t="inlineStr">
        <is>
          <t>CP expected to be opened in 2027.</t>
        </is>
      </c>
      <c r="J43" s="2" t="n"/>
      <c r="K43" s="2" t="n">
        <v>20</v>
      </c>
      <c r="L43" s="2" t="inlineStr">
        <is>
          <t>TRUE</t>
        </is>
      </c>
      <c r="M43" s="2" t="inlineStr">
        <is>
          <t>transmissao; acesso</t>
        </is>
      </c>
    </row>
    <row r="44" ht="27.6" customHeight="1" s="30">
      <c r="A44" s="2" t="n">
        <v>40</v>
      </c>
      <c r="B44" s="2" t="n">
        <v>1</v>
      </c>
      <c r="C44" s="2" t="inlineStr">
        <is>
          <t>pendencias-regulatorias-mme</t>
        </is>
      </c>
      <c r="D44" s="2" t="inlineStr">
        <is>
          <t>MME</t>
        </is>
      </c>
      <c r="E44" s="2" t="inlineStr">
        <is>
          <t>Compensação por cortes de geração eólica ou solar</t>
        </is>
      </c>
      <c r="F44" s="2" t="inlineStr">
        <is>
          <t>Compensation for wind or solar generation curtailment</t>
        </is>
      </c>
      <c r="G44" s="2" t="inlineStr">
        <is>
          <t>in_progress</t>
        </is>
      </c>
      <c r="H44" s="2" t="inlineStr">
        <is>
          <t>Aguarda desdobramento da CP 210/2025 que encerrou em 16 de janeiro de 2026.</t>
        </is>
      </c>
      <c r="I44" s="2" t="inlineStr">
        <is>
          <t>Subject of CP 210/2025. Next steps: awaiting results of CP, which closed on January 16th.</t>
        </is>
      </c>
      <c r="J44" s="2" t="n"/>
      <c r="K44" s="2" t="n">
        <v>1</v>
      </c>
      <c r="L44" s="2" t="inlineStr">
        <is>
          <t>TRUE</t>
        </is>
      </c>
      <c r="M44" s="2" t="inlineStr">
        <is>
          <t>curtailment; eolica; solar; mme</t>
        </is>
      </c>
    </row>
    <row r="45" ht="41.4" customHeight="1" s="30">
      <c r="A45" s="2" t="n">
        <v>41</v>
      </c>
      <c r="B45" s="2" t="n">
        <v>1</v>
      </c>
      <c r="C45" s="2" t="inlineStr">
        <is>
          <t>pendencias-regulatorias-mme</t>
        </is>
      </c>
      <c r="D45" s="2" t="inlineStr">
        <is>
          <t>MME</t>
        </is>
      </c>
      <c r="E45" s="2" t="inlineStr">
        <is>
          <t>Liberalização do mercado para consumidores de baixa tensão e regras para o Supridor de Última Instância (SUI)</t>
        </is>
      </c>
      <c r="F45" s="2" t="inlineStr">
        <is>
          <t>Market liberalization for low voltage consumers and rules for Supplier of Last Resort (SUI)</t>
        </is>
      </c>
      <c r="G45" s="2" t="inlineStr">
        <is>
          <t>in_progress</t>
        </is>
      </c>
      <c r="H45" s="2" t="inlineStr">
        <is>
          <t>Tema da CP 196/2025. Próximos passos: aguardando desdobramentos da Lei 15.269/2025.</t>
        </is>
      </c>
      <c r="I45" s="2" t="inlineStr">
        <is>
          <t>Subject of CP 196/2025. Next steps: awaiting further developments after Law 15269/2025.</t>
        </is>
      </c>
      <c r="J45" s="2" t="n"/>
      <c r="K45" s="2" t="n">
        <v>2</v>
      </c>
      <c r="L45" s="2" t="inlineStr">
        <is>
          <t>TRUE</t>
        </is>
      </c>
      <c r="M45" s="2" t="inlineStr">
        <is>
          <t>mercado-livre; baixa-tensao; mme</t>
        </is>
      </c>
    </row>
    <row r="46" ht="55.2" customHeight="1" s="30">
      <c r="A46" s="2" t="n">
        <v>42</v>
      </c>
      <c r="B46" s="2" t="n">
        <v>1</v>
      </c>
      <c r="C46" s="2" t="inlineStr">
        <is>
          <t>pendencias-regulatorias-mme</t>
        </is>
      </c>
      <c r="D46" s="2" t="inlineStr">
        <is>
          <t>MME</t>
        </is>
      </c>
      <c r="E46" s="2" t="inlineStr">
        <is>
          <t>Diretrizes para decisões do Comitê de Monitoramento do Setor Elétrico (CMSE) sobre despacho para segurança do suprimento</t>
        </is>
      </c>
      <c r="F46" s="2" t="inlineStr">
        <is>
          <t>Guidelines for Monitoring Committee (CMSE) decisions on dispatch for supply-security</t>
        </is>
      </c>
      <c r="G46" s="2" t="inlineStr">
        <is>
          <t>in_progress</t>
        </is>
      </c>
      <c r="H46" s="2" t="inlineStr">
        <is>
          <t>Tema da CP 193/2025. Próximos passos: publicação de Portaria Normativa pelo MME.</t>
        </is>
      </c>
      <c r="I46" s="2" t="inlineStr">
        <is>
          <t>Subject of CP 193/2025. Next steps: publication of a Normative Ordinance by MME.</t>
        </is>
      </c>
      <c r="J46" s="2" t="n"/>
      <c r="K46" s="2" t="n">
        <v>3</v>
      </c>
      <c r="L46" s="2" t="inlineStr">
        <is>
          <t>TRUE</t>
        </is>
      </c>
      <c r="M46" s="2" t="inlineStr">
        <is>
          <t>cmse; despacho; mme</t>
        </is>
      </c>
    </row>
    <row r="47" ht="27.6" customHeight="1" s="30">
      <c r="A47" s="2" t="n">
        <v>43</v>
      </c>
      <c r="B47" s="2" t="n">
        <v>1</v>
      </c>
      <c r="C47" s="2" t="inlineStr">
        <is>
          <t>pendencias-regulatorias-mme</t>
        </is>
      </c>
      <c r="D47" s="2" t="inlineStr">
        <is>
          <t>MME</t>
        </is>
      </c>
      <c r="E47" s="2" t="inlineStr">
        <is>
          <t>Diretrizes para a Implementação de Curto Prazo de Medidores Inteligentes</t>
        </is>
      </c>
      <c r="F47" s="2" t="inlineStr">
        <is>
          <t>Guidelines for the short-term implementation of Smart Meters</t>
        </is>
      </c>
      <c r="G47" s="2" t="inlineStr">
        <is>
          <t>in_progress</t>
        </is>
      </c>
      <c r="H47" s="2" t="inlineStr">
        <is>
          <t>Tema da CP 198/2025. Próximos passos: publicação de Portaria Normativa pelo MME.</t>
        </is>
      </c>
      <c r="I47" s="2" t="inlineStr">
        <is>
          <t>Subject of CP 198/2025. Next steps: publication of a Normative Ordinance by MME.</t>
        </is>
      </c>
      <c r="J47" s="2" t="n"/>
      <c r="K47" s="2" t="n">
        <v>4</v>
      </c>
      <c r="L47" s="2" t="inlineStr">
        <is>
          <t>TRUE</t>
        </is>
      </c>
      <c r="M47" s="2" t="inlineStr">
        <is>
          <t>medidores-inteligentes; mme</t>
        </is>
      </c>
    </row>
    <row r="48" ht="55.2" customHeight="1" s="30">
      <c r="A48" s="2" t="n">
        <v>44</v>
      </c>
      <c r="B48" s="2" t="n">
        <v>1</v>
      </c>
      <c r="C48" s="2" t="inlineStr">
        <is>
          <t>pendencias-regulatorias-mme</t>
        </is>
      </c>
      <c r="D48" s="2" t="inlineStr">
        <is>
          <t>MME</t>
        </is>
      </c>
      <c r="E48" s="2" t="inlineStr">
        <is>
          <t>Diretrizes para o CMSE avaliar e aprovar a antecipação da entrada em operação de usinas contratadas em leilões de reserva de capacidade</t>
        </is>
      </c>
      <c r="F48" s="2" t="inlineStr">
        <is>
          <t>Anticipation of Commercial Operation for Plants Contracted in Capacity Reserve Auctions</t>
        </is>
      </c>
      <c r="G48" s="2" t="inlineStr">
        <is>
          <t>in_progress</t>
        </is>
      </c>
      <c r="H48" s="2" t="inlineStr">
        <is>
          <t>Tema da CP 212/2026. Próximos passos: publicação de Portaria Normativa pelo MME.</t>
        </is>
      </c>
      <c r="I48" s="2" t="inlineStr">
        <is>
          <t>Subject of CP 212/2026. Next steps: publication of a Normative Ordinance by the MME.</t>
        </is>
      </c>
      <c r="J48" s="2" t="n"/>
      <c r="K48" s="2" t="n">
        <v>5</v>
      </c>
      <c r="L48" s="2" t="inlineStr">
        <is>
          <t>TRUE</t>
        </is>
      </c>
      <c r="M48" s="2" t="inlineStr">
        <is>
          <t>cmse; reserva-de-capacidade; mme</t>
        </is>
      </c>
    </row>
    <row r="49" ht="27.6" customHeight="1" s="30">
      <c r="A49" s="2" t="n">
        <v>45</v>
      </c>
      <c r="B49" s="2" t="n">
        <v>1</v>
      </c>
      <c r="C49" s="2" t="inlineStr">
        <is>
          <t>pendencias-regulatorias-mme</t>
        </is>
      </c>
      <c r="D49" s="2" t="inlineStr">
        <is>
          <t>MME</t>
        </is>
      </c>
      <c r="E49" s="2" t="inlineStr">
        <is>
          <t>Contabilização Dupla no Mercado de Curto Prazo – MCP</t>
        </is>
      </c>
      <c r="F49" s="2" t="inlineStr">
        <is>
          <t>Double Settlement in the Short-Term Market (MCP)</t>
        </is>
      </c>
      <c r="G49" s="2" t="inlineStr">
        <is>
          <t>in_progress</t>
        </is>
      </c>
      <c r="H49" s="2" t="inlineStr">
        <is>
          <t>Tema da CP 218/2026. Próximos passos: publicação de Portaria Normativa pelo MME.</t>
        </is>
      </c>
      <c r="I49" s="2" t="inlineStr">
        <is>
          <t>Subject of CP 218/2026. Next steps: publication of a Ministerial Ordinance by MME.</t>
        </is>
      </c>
      <c r="J49" s="2" t="n"/>
      <c r="K49" s="2" t="n">
        <v>6</v>
      </c>
      <c r="L49" s="2" t="inlineStr">
        <is>
          <t>TRUE</t>
        </is>
      </c>
      <c r="M49" s="2" t="inlineStr">
        <is>
          <t>mcp; mme</t>
        </is>
      </c>
    </row>
    <row r="50" ht="41.4" customHeight="1" s="30">
      <c r="A50" s="2" t="n">
        <v>46</v>
      </c>
      <c r="B50" s="2" t="n">
        <v>1</v>
      </c>
      <c r="C50" s="2" t="inlineStr">
        <is>
          <t>pendencias-regulatorias-mme</t>
        </is>
      </c>
      <c r="D50" s="2" t="inlineStr">
        <is>
          <t>MME</t>
        </is>
      </c>
      <c r="E50" s="2" t="inlineStr">
        <is>
          <t>Revisão da Capacidade Comercial para usinas solares, eólicas e pequenas centrais hidrelétricas (PCHs)</t>
        </is>
      </c>
      <c r="F50" s="2" t="inlineStr">
        <is>
          <t>Commercial Capacity review for solar, wind and small hydro plants</t>
        </is>
      </c>
      <c r="G50" s="2" t="inlineStr">
        <is>
          <t>not_started</t>
        </is>
      </c>
      <c r="H50" s="2" t="inlineStr">
        <is>
          <t>O tema está na agenda regulatória do MME e está programado para ser discutido por meio de CP em 2026.</t>
        </is>
      </c>
      <c r="I50" s="2" t="inlineStr">
        <is>
          <t>The subject is at MME regulatory agenda, and it is scheduled to be discussed via CP in 2026.</t>
        </is>
      </c>
      <c r="J50" s="2" t="n"/>
      <c r="K50" s="2" t="n">
        <v>7</v>
      </c>
      <c r="L50" s="2" t="inlineStr">
        <is>
          <t>TRUE</t>
        </is>
      </c>
      <c r="M50" s="2" t="inlineStr">
        <is>
          <t>capacidade-comercial; mme</t>
        </is>
      </c>
    </row>
    <row r="51" ht="41.4" customHeight="1" s="30">
      <c r="A51" s="2" t="n">
        <v>47</v>
      </c>
      <c r="B51" s="2" t="n">
        <v>1</v>
      </c>
      <c r="C51" s="2" t="inlineStr">
        <is>
          <t>pendencias-regulatorias-mme</t>
        </is>
      </c>
      <c r="D51" s="2" t="inlineStr">
        <is>
          <t>MME</t>
        </is>
      </c>
      <c r="E51" s="2" t="inlineStr">
        <is>
          <t>Atualização do Regimento Interno do CMSE</t>
        </is>
      </c>
      <c r="F51" s="2" t="inlineStr">
        <is>
          <t>Update of CMSE’s Internal Regulations</t>
        </is>
      </c>
      <c r="G51" s="2" t="inlineStr">
        <is>
          <t>not_started</t>
        </is>
      </c>
      <c r="H51" s="2" t="inlineStr">
        <is>
          <t>O tema está na agenda regulatória do MME e está programado para ser discutido por meio de CP em 2026.</t>
        </is>
      </c>
      <c r="I51" s="2" t="inlineStr">
        <is>
          <t>The topic is expected to be discussed through a CP in 2026.</t>
        </is>
      </c>
      <c r="J51" s="2" t="n"/>
      <c r="K51" s="2" t="n">
        <v>8</v>
      </c>
      <c r="L51" s="2" t="inlineStr">
        <is>
          <t>TRUE</t>
        </is>
      </c>
      <c r="M51" s="2" t="inlineStr">
        <is>
          <t>cmse; mme</t>
        </is>
      </c>
    </row>
    <row r="52" ht="27.6" customHeight="1" s="30">
      <c r="A52" s="2" t="n">
        <v>48</v>
      </c>
      <c r="B52" s="2" t="n">
        <v>2</v>
      </c>
      <c r="C52" s="2" t="inlineStr">
        <is>
          <t>pendencias-regulatorias-mme</t>
        </is>
      </c>
      <c r="D52" s="2" t="inlineStr">
        <is>
          <t>MME</t>
        </is>
      </c>
      <c r="E52" s="2" t="inlineStr">
        <is>
          <t>Compensação por cortes de geração eólica ou solar</t>
        </is>
      </c>
      <c r="F52" s="2" t="inlineStr">
        <is>
          <t>Compensation for wind or solar generation curtailment</t>
        </is>
      </c>
      <c r="G52" s="2" t="inlineStr">
        <is>
          <t>in_progress</t>
        </is>
      </c>
      <c r="H52" s="2" t="inlineStr">
        <is>
          <t>Aguarda desdobramento da CP 210/2025 que encerrou em 16 de janeiro de 2026.</t>
        </is>
      </c>
      <c r="I52" s="2" t="inlineStr">
        <is>
          <t>Subject of CP 210/2025. Next steps: awaiting results of CP, which closed on January 16th.</t>
        </is>
      </c>
      <c r="J52" s="2" t="n"/>
      <c r="K52" s="2" t="n">
        <v>1</v>
      </c>
      <c r="L52" s="2" t="inlineStr">
        <is>
          <t>TRUE</t>
        </is>
      </c>
      <c r="M52" s="2" t="inlineStr">
        <is>
          <t>curtailment; eolica; solar; mme</t>
        </is>
      </c>
    </row>
    <row r="53" ht="41.4" customHeight="1" s="30">
      <c r="A53" s="2" t="n">
        <v>49</v>
      </c>
      <c r="B53" s="2" t="n">
        <v>2</v>
      </c>
      <c r="C53" s="2" t="inlineStr">
        <is>
          <t>pendencias-regulatorias-mme</t>
        </is>
      </c>
      <c r="D53" s="2" t="inlineStr">
        <is>
          <t>MME</t>
        </is>
      </c>
      <c r="E53" s="2" t="inlineStr">
        <is>
          <t>Liberalização do mercado para consumidores de baixa tensão e regras para o Supridor de Última Instância (SUI)</t>
        </is>
      </c>
      <c r="F53" s="2" t="inlineStr">
        <is>
          <t>Market liberalization for low voltage consumers and rules for Supplier of Last Resort (SUI)</t>
        </is>
      </c>
      <c r="G53" s="2" t="inlineStr">
        <is>
          <t>in_progress</t>
        </is>
      </c>
      <c r="H53" s="2" t="inlineStr">
        <is>
          <t>Tema da CP 196/2025. Próximos passos: aguardando desdobramentos da Lei 15.269/2025.</t>
        </is>
      </c>
      <c r="I53" s="2" t="inlineStr">
        <is>
          <t>Subject of CP 196/2025. Next steps: awaiting further developments after Law 15269/2025.</t>
        </is>
      </c>
      <c r="J53" s="2" t="n"/>
      <c r="K53" s="2" t="n">
        <v>2</v>
      </c>
      <c r="L53" s="2" t="inlineStr">
        <is>
          <t>TRUE</t>
        </is>
      </c>
      <c r="M53" s="2" t="inlineStr">
        <is>
          <t>mercado-livre; baixa-tensao; mme</t>
        </is>
      </c>
    </row>
    <row r="54" ht="55.2" customHeight="1" s="30">
      <c r="A54" s="2" t="n">
        <v>50</v>
      </c>
      <c r="B54" s="2" t="n">
        <v>2</v>
      </c>
      <c r="C54" s="2" t="inlineStr">
        <is>
          <t>pendencias-regulatorias-mme</t>
        </is>
      </c>
      <c r="D54" s="2" t="inlineStr">
        <is>
          <t>MME</t>
        </is>
      </c>
      <c r="E54" s="2" t="inlineStr">
        <is>
          <t>Diretrizes para decisões do Comitê de Monitoramento do Setor Elétrico (CMSE) sobre despacho para segurança do suprimento</t>
        </is>
      </c>
      <c r="F54" s="2" t="inlineStr">
        <is>
          <t>Guidelines for Monitoring Committee (CMSE) decisions on dispatch for supply-security</t>
        </is>
      </c>
      <c r="G54" s="2" t="inlineStr">
        <is>
          <t>in_progress</t>
        </is>
      </c>
      <c r="H54" s="2" t="inlineStr">
        <is>
          <t>Tema da CP 193/2025. Próximos passos: publicação de Portaria Normativa pelo MME.</t>
        </is>
      </c>
      <c r="I54" s="2" t="inlineStr">
        <is>
          <t>Subject of CP 193/2025. Next steps: publication of a Normative Ordinance by MME.</t>
        </is>
      </c>
      <c r="J54" s="2" t="n"/>
      <c r="K54" s="2" t="n">
        <v>3</v>
      </c>
      <c r="L54" s="2" t="inlineStr">
        <is>
          <t>TRUE</t>
        </is>
      </c>
      <c r="M54" s="2" t="inlineStr">
        <is>
          <t>cmse; despacho; mme</t>
        </is>
      </c>
    </row>
    <row r="55" ht="27.6" customHeight="1" s="30">
      <c r="A55" s="2" t="n">
        <v>51</v>
      </c>
      <c r="B55" s="2" t="n">
        <v>2</v>
      </c>
      <c r="C55" s="2" t="inlineStr">
        <is>
          <t>pendencias-regulatorias-mme</t>
        </is>
      </c>
      <c r="D55" s="2" t="inlineStr">
        <is>
          <t>MME</t>
        </is>
      </c>
      <c r="E55" s="2" t="inlineStr">
        <is>
          <t>Diretrizes para a Implementação de Curto Prazo de Medidores Inteligentes</t>
        </is>
      </c>
      <c r="F55" s="2" t="inlineStr">
        <is>
          <t>Guidelines for the short-term implementation of Smart Meters</t>
        </is>
      </c>
      <c r="G55" s="2" t="inlineStr">
        <is>
          <t>in_progress</t>
        </is>
      </c>
      <c r="H55" s="2" t="inlineStr">
        <is>
          <t>Tema da CP 198/2025. Próximos passos: publicação de Portaria Normativa pelo MME.</t>
        </is>
      </c>
      <c r="I55" s="2" t="inlineStr">
        <is>
          <t>Subject of CP 198/2025. Next steps: publication of a Normative Ordinance by MME.</t>
        </is>
      </c>
      <c r="J55" s="2" t="n"/>
      <c r="K55" s="2" t="n">
        <v>4</v>
      </c>
      <c r="L55" s="2" t="inlineStr">
        <is>
          <t>TRUE</t>
        </is>
      </c>
      <c r="M55" s="2" t="inlineStr">
        <is>
          <t>medidores-inteligentes; mme</t>
        </is>
      </c>
    </row>
    <row r="56" ht="55.2" customHeight="1" s="30">
      <c r="A56" s="2" t="n">
        <v>52</v>
      </c>
      <c r="B56" s="2" t="n">
        <v>2</v>
      </c>
      <c r="C56" s="2" t="inlineStr">
        <is>
          <t>pendencias-regulatorias-mme</t>
        </is>
      </c>
      <c r="D56" s="2" t="inlineStr">
        <is>
          <t>MME</t>
        </is>
      </c>
      <c r="E56" s="2" t="inlineStr">
        <is>
          <t>Diretrizes para o CMSE avaliar e aprovar a antecipação da entrada em operação de usinas contratadas em leilões de reserva de capacidade</t>
        </is>
      </c>
      <c r="F56" s="2" t="inlineStr">
        <is>
          <t>Anticipation of Commercial Operation for Plants Contracted in Capacity Reserve Auctions</t>
        </is>
      </c>
      <c r="G56" s="2" t="inlineStr">
        <is>
          <t>in_progress</t>
        </is>
      </c>
      <c r="H56" s="2" t="inlineStr">
        <is>
          <t>Tema da CP 212/2026. Próximos passos: publicação de Portaria Normativa pelo MME.</t>
        </is>
      </c>
      <c r="I56" s="2" t="inlineStr">
        <is>
          <t>Subject of CP 212/2026. Next steps: publication of a Normative Ordinance by the MME.</t>
        </is>
      </c>
      <c r="J56" s="2" t="n"/>
      <c r="K56" s="2" t="n">
        <v>5</v>
      </c>
      <c r="L56" s="2" t="inlineStr">
        <is>
          <t>TRUE</t>
        </is>
      </c>
      <c r="M56" s="2" t="inlineStr">
        <is>
          <t>cmse; reserva-de-capacidade; mme</t>
        </is>
      </c>
    </row>
    <row r="57" ht="27.6" customHeight="1" s="30">
      <c r="A57" s="2" t="n">
        <v>53</v>
      </c>
      <c r="B57" s="2" t="n">
        <v>2</v>
      </c>
      <c r="C57" s="2" t="inlineStr">
        <is>
          <t>pendencias-regulatorias-mme</t>
        </is>
      </c>
      <c r="D57" s="2" t="inlineStr">
        <is>
          <t>MME</t>
        </is>
      </c>
      <c r="E57" s="2" t="inlineStr">
        <is>
          <t>Contabilização Dupla no Mercado de Curto Prazo – MCP</t>
        </is>
      </c>
      <c r="F57" s="2" t="inlineStr">
        <is>
          <t>Double Settlement in the Short-Term Market (MCP)</t>
        </is>
      </c>
      <c r="G57" s="2" t="inlineStr">
        <is>
          <t>in_progress</t>
        </is>
      </c>
      <c r="H57" s="2" t="inlineStr">
        <is>
          <t>Tema da CP 218/2026. Próximos passos: publicação de Portaria Normativa pelo MME.</t>
        </is>
      </c>
      <c r="I57" s="2" t="inlineStr">
        <is>
          <t>Subject of CP 218/2026. Next steps: publication of a Ministerial Ordinance by MME.</t>
        </is>
      </c>
      <c r="J57" s="2" t="n"/>
      <c r="K57" s="2" t="n">
        <v>6</v>
      </c>
      <c r="L57" s="2" t="inlineStr">
        <is>
          <t>TRUE</t>
        </is>
      </c>
      <c r="M57" s="2" t="inlineStr">
        <is>
          <t>mcp; mme</t>
        </is>
      </c>
    </row>
    <row r="58" ht="41.4" customHeight="1" s="30">
      <c r="A58" s="2" t="n">
        <v>54</v>
      </c>
      <c r="B58" s="2" t="n">
        <v>2</v>
      </c>
      <c r="C58" s="2" t="inlineStr">
        <is>
          <t>pendencias-regulatorias-mme</t>
        </is>
      </c>
      <c r="D58" s="2" t="inlineStr">
        <is>
          <t>MME</t>
        </is>
      </c>
      <c r="E58" s="2" t="inlineStr">
        <is>
          <t>Revisão da Capacidade Comercial para usinas solares, eólicas e pequenas centrais hidrelétricas (PCHs)</t>
        </is>
      </c>
      <c r="F58" s="2" t="inlineStr">
        <is>
          <t>Commercial Capacity review for solar, wind and small hydro plants</t>
        </is>
      </c>
      <c r="G58" s="2" t="inlineStr">
        <is>
          <t>not_started</t>
        </is>
      </c>
      <c r="H58" s="2" t="inlineStr">
        <is>
          <t>O tema está na agenda regulatória do MME e está programado para ser discutido por meio de CP em 2026.</t>
        </is>
      </c>
      <c r="I58" s="2" t="inlineStr">
        <is>
          <t>The subject is at MME regulatory agenda, and it is scheduled to be discussed via CP in 2026.</t>
        </is>
      </c>
      <c r="J58" s="2" t="n"/>
      <c r="K58" s="2" t="n">
        <v>7</v>
      </c>
      <c r="L58" s="2" t="inlineStr">
        <is>
          <t>TRUE</t>
        </is>
      </c>
      <c r="M58" s="2" t="inlineStr">
        <is>
          <t>capacidade-comercial; mme</t>
        </is>
      </c>
    </row>
    <row r="59" ht="41.4" customHeight="1" s="30">
      <c r="A59" s="2" t="n">
        <v>55</v>
      </c>
      <c r="B59" s="2" t="n">
        <v>2</v>
      </c>
      <c r="C59" s="2" t="inlineStr">
        <is>
          <t>pendencias-regulatorias-mme</t>
        </is>
      </c>
      <c r="D59" s="2" t="inlineStr">
        <is>
          <t>MME</t>
        </is>
      </c>
      <c r="E59" s="2" t="inlineStr">
        <is>
          <t>Atualização do Regimento Interno do CMSE</t>
        </is>
      </c>
      <c r="F59" s="2" t="inlineStr">
        <is>
          <t>Update of CMSE’s Internal Regulations</t>
        </is>
      </c>
      <c r="G59" s="2" t="inlineStr">
        <is>
          <t>not_started</t>
        </is>
      </c>
      <c r="H59" s="2" t="inlineStr">
        <is>
          <t>O tema está na agenda regulatória do MME e está programado para ser discutido por meio de CP em 2026.</t>
        </is>
      </c>
      <c r="I59" s="2" t="inlineStr">
        <is>
          <t>The topic is expected to be discussed through a CP in 2026.</t>
        </is>
      </c>
      <c r="J59" s="2" t="n"/>
      <c r="K59" s="2" t="n">
        <v>8</v>
      </c>
      <c r="L59" s="2" t="inlineStr">
        <is>
          <t>TRUE</t>
        </is>
      </c>
      <c r="M59" s="2" t="inlineStr">
        <is>
          <t>cmse; mme</t>
        </is>
      </c>
    </row>
    <row r="60" ht="55.2" customHeight="1" s="30">
      <c r="A60" s="2" t="n">
        <v>56</v>
      </c>
      <c r="B60" s="2" t="n">
        <v>3</v>
      </c>
      <c r="C60" s="2" t="inlineStr">
        <is>
          <t>pendencias-regulatorias-aneel</t>
        </is>
      </c>
      <c r="D60" s="2" t="inlineStr">
        <is>
          <t>ANEEL</t>
        </is>
      </c>
      <c r="E60" s="2" t="inlineStr">
        <is>
          <t>Regulação para sistemas de armazenamento (incluindo baterias e usinas reversíveis de bombeamento)</t>
        </is>
      </c>
      <c r="F60" s="2" t="inlineStr">
        <is>
          <t>Regulation for storage systems (including BESS and pumped hydro plants)</t>
        </is>
      </c>
      <c r="G60" s="2" t="inlineStr">
        <is>
          <t>completed</t>
        </is>
      </c>
      <c r="H60" s="2" t="inlineStr">
        <is>
          <t>Tema da CP 39/2023. A Diretoria da ANEEL aprovou a regulamentação dos BESS e usinas reversíveis por meio das RENs 1.161/2026 e 1.162/2026, que aguardam publicação.</t>
        </is>
      </c>
      <c r="I60" s="2" t="inlineStr">
        <is>
          <t>Subject of CP 39/2023. ANEEL approved new regulations for BESS and pumped-storage hydro plants through Resolutions 1161/2026 and 1162/2026, not yet officially published.</t>
        </is>
      </c>
      <c r="J60" s="2" t="n"/>
      <c r="K60" s="2" t="n">
        <v>1</v>
      </c>
      <c r="L60" s="2" t="inlineStr">
        <is>
          <t>TRUE</t>
        </is>
      </c>
      <c r="M60" s="2" t="inlineStr">
        <is>
          <t>baterias; armazenamento; aneel</t>
        </is>
      </c>
    </row>
    <row r="61" ht="41.4" customHeight="1" s="30">
      <c r="A61" s="23" t="n">
        <v>57</v>
      </c>
      <c r="B61" s="23" t="n">
        <v>3</v>
      </c>
      <c r="C61" s="23" t="inlineStr">
        <is>
          <t>pendencias-regulatorias-aneel</t>
        </is>
      </c>
      <c r="D61" s="23" t="inlineStr">
        <is>
          <t>ANEEL</t>
        </is>
      </c>
      <c r="E61" s="23" t="inlineStr">
        <is>
          <t>Pagamento de encargos de constrained-off para usinas hidrelétricas</t>
        </is>
      </c>
      <c r="F61" s="23" t="inlineStr">
        <is>
          <t>Payment of constrained off charges for hydroelectric plants</t>
        </is>
      </c>
      <c r="G61" s="23" t="inlineStr">
        <is>
          <t>started</t>
        </is>
      </c>
      <c r="H61" s="23" t="inlineStr">
        <is>
          <t>A ANEEL iniciou discussões internas sobre o tema. Uma CP deve ser aberta no 2º semestre de 2026.</t>
        </is>
      </c>
      <c r="I61" s="23" t="inlineStr">
        <is>
          <t>ANEEL has started internal discussions on the subject. A new CP is expected to take place in the 2nd half of 2026.</t>
        </is>
      </c>
      <c r="J61" s="23" t="n"/>
      <c r="K61" s="23" t="n">
        <v>2</v>
      </c>
      <c r="L61" s="23" t="inlineStr">
        <is>
          <t>TRUE</t>
        </is>
      </c>
      <c r="M61" s="23" t="inlineStr">
        <is>
          <t>curtailment; hidreletricas; aneel</t>
        </is>
      </c>
    </row>
    <row r="62" ht="27.6" customHeight="1" s="30">
      <c r="A62" s="2" t="n">
        <v>58</v>
      </c>
      <c r="B62" s="2" t="n">
        <v>3</v>
      </c>
      <c r="C62" s="2" t="inlineStr">
        <is>
          <t>pendencias-regulatorias-aneel</t>
        </is>
      </c>
      <c r="D62" s="2" t="inlineStr">
        <is>
          <t>ANEEL</t>
        </is>
      </c>
      <c r="E62" s="2" t="inlineStr">
        <is>
          <t>Modernização das tarifas de distribuição - Ciclo 1</t>
        </is>
      </c>
      <c r="F62" s="2" t="inlineStr">
        <is>
          <t>Modernization of Distribution Tariffs – Cycle 1</t>
        </is>
      </c>
      <c r="G62" s="2" t="inlineStr">
        <is>
          <t>in_progress</t>
        </is>
      </c>
      <c r="H62" s="2" t="inlineStr">
        <is>
          <t>Tema da CP 16/2026. A CP está aberta para contribuições até 8 de agosto.</t>
        </is>
      </c>
      <c r="I62" s="2" t="inlineStr">
        <is>
          <t>Subject of CP 16/2026. CP is open for contributions until August 8th, 2026.</t>
        </is>
      </c>
      <c r="J62" s="2" t="n"/>
      <c r="K62" s="2" t="n">
        <v>3</v>
      </c>
      <c r="L62" s="2" t="inlineStr">
        <is>
          <t>TRUE</t>
        </is>
      </c>
      <c r="M62" s="2" t="inlineStr">
        <is>
          <t>tarifas; distribuição; aneel</t>
        </is>
      </c>
    </row>
    <row r="63" ht="69" customHeight="1" s="30">
      <c r="A63" s="23" t="n">
        <v>59</v>
      </c>
      <c r="B63" s="23" t="n">
        <v>3</v>
      </c>
      <c r="C63" s="23" t="inlineStr">
        <is>
          <t>pendencias-regulatorias-aneel</t>
        </is>
      </c>
      <c r="D63" s="23" t="inlineStr">
        <is>
          <t>ANEEL</t>
        </is>
      </c>
      <c r="E63" s="23" t="inlineStr">
        <is>
          <t>Aprimoramento da regulamentação para atendimento aos critérios para autoprodução, inclusive por equiparação</t>
        </is>
      </c>
      <c r="F63" s="23" t="inlineStr">
        <is>
          <t>Improvements of criteria for self-generation</t>
        </is>
      </c>
      <c r="G63" s="23" t="inlineStr">
        <is>
          <t>in_progress</t>
        </is>
      </c>
      <c r="H63" s="23" t="inlineStr">
        <is>
          <t>Previsão de abertura de CP em 2026. Próximos passos: publicação de Despacho pela ANEEL estabelecendo os procedimentos para implementar as alterações da Lei nº 9.074/1995 introduzidas pela Lei nº 15.269/2025.</t>
        </is>
      </c>
      <c r="I63" s="23" t="inlineStr">
        <is>
          <t>Next steps: Publication of an order by ANEEL establishing the procedures for implementing the amendments to Law 9074/1995 introduced by Law 15269/2025.</t>
        </is>
      </c>
      <c r="J63" s="23" t="n"/>
      <c r="K63" s="23" t="n">
        <v>4</v>
      </c>
      <c r="L63" s="23" t="inlineStr">
        <is>
          <t>TRUE</t>
        </is>
      </c>
      <c r="M63" s="23" t="inlineStr">
        <is>
          <t>autoproducao; aneel</t>
        </is>
      </c>
    </row>
    <row r="64" ht="82.8" customHeight="1" s="30">
      <c r="A64" s="2" t="n">
        <v>60</v>
      </c>
      <c r="B64" s="2" t="n">
        <v>3</v>
      </c>
      <c r="C64" s="2" t="inlineStr">
        <is>
          <t>pendencias-regulatorias-aneel</t>
        </is>
      </c>
      <c r="D64" s="2" t="inlineStr">
        <is>
          <t>ANEEL</t>
        </is>
      </c>
      <c r="E64" s="2" t="inlineStr">
        <is>
          <t>Critérios operacionais para curtailment de usinas</t>
        </is>
      </c>
      <c r="F64" s="2" t="inlineStr">
        <is>
          <t>Operational criteria for power curtailment for all plants</t>
        </is>
      </c>
      <c r="G64" s="2" t="inlineStr">
        <is>
          <t>in_progress</t>
        </is>
      </c>
      <c r="H64" s="2" t="inlineStr">
        <is>
          <t>Tema da CP 45/2019. O resultado da CP foi discutido pela Diretoria da ANEEL em reunião extraordinária no dia 22/06. O Diretor Fernando Mosna pediu vista do processo, indicando dúvidas sobre os efeitos econômicos da metodologia em discussão para aprovação.</t>
        </is>
      </c>
      <c r="I64" s="2" t="inlineStr">
        <is>
          <t>Subject of CP 45/2019. The outcome was discussed by ANEEL’s Board on June 22nd. Final decision was postponed after Director Fernando Mosna requested additional time to review the proposal, citing concerns about its economic impacts.</t>
        </is>
      </c>
      <c r="J64" s="2" t="n"/>
      <c r="K64" s="2" t="n">
        <v>5</v>
      </c>
      <c r="L64" s="2" t="inlineStr">
        <is>
          <t>TRUE</t>
        </is>
      </c>
      <c r="M64" s="2" t="inlineStr">
        <is>
          <t>curtailment; cp45; aneel</t>
        </is>
      </c>
    </row>
    <row r="65" ht="55.2" customHeight="1" s="30">
      <c r="A65" s="23" t="n">
        <v>61</v>
      </c>
      <c r="B65" s="23" t="n">
        <v>3</v>
      </c>
      <c r="C65" s="23" t="inlineStr">
        <is>
          <t>pendencias-regulatorias-aneel</t>
        </is>
      </c>
      <c r="D65" s="23" t="inlineStr">
        <is>
          <t>ANEEL</t>
        </is>
      </c>
      <c r="E65" s="23" t="inlineStr">
        <is>
          <t>Open Energy</t>
        </is>
      </c>
      <c r="F65" s="23" t="inlineStr">
        <is>
          <t>Open Energy</t>
        </is>
      </c>
      <c r="G65" s="23" t="inlineStr">
        <is>
          <t>waiting_decision</t>
        </is>
      </c>
      <c r="H65" s="23" t="inlineStr">
        <is>
          <t>Tema da CP 07/2025. A Nota Técnica 17/2025 com o resultado da CP será levada para decisão da Diretoria da ANEEL. O tema foi retirado da pauta da reunião da Diretoria da ANEEL do dia 16/06.</t>
        </is>
      </c>
      <c r="I65" s="23" t="inlineStr">
        <is>
          <t>Subject of CP 07/2025. Technical Note 17/2025 will be submitted to ANEEL’s Board of Directors.</t>
        </is>
      </c>
      <c r="J65" s="23" t="n"/>
      <c r="K65" s="23" t="n">
        <v>6</v>
      </c>
      <c r="L65" s="23" t="inlineStr">
        <is>
          <t>TRUE</t>
        </is>
      </c>
      <c r="M65" s="23" t="inlineStr">
        <is>
          <t>open-energy; aneel</t>
        </is>
      </c>
    </row>
    <row r="66" ht="55.2" customHeight="1" s="30">
      <c r="A66" s="2" t="n">
        <v>62</v>
      </c>
      <c r="B66" s="2" t="n">
        <v>3</v>
      </c>
      <c r="C66" s="2" t="inlineStr">
        <is>
          <t>pendencias-regulatorias-aneel</t>
        </is>
      </c>
      <c r="D66" s="2" t="inlineStr">
        <is>
          <t>ANEEL</t>
        </is>
      </c>
      <c r="E66" s="2" t="inlineStr">
        <is>
          <t>Aperfeiçoamento do processo de monitoramento do mercado (segurança de mercado)</t>
        </is>
      </c>
      <c r="F66" s="2" t="inlineStr">
        <is>
          <t>Improvement of the market monitoring process (market security)</t>
        </is>
      </c>
      <c r="G66" s="2" t="inlineStr">
        <is>
          <t>in_progress</t>
        </is>
      </c>
      <c r="H66" s="2" t="inlineStr">
        <is>
          <t>Tema das CP 33/2025 e CP 17/2026. Próximos passos: está aberta para contribuições até o dia 03/08 a CP 17/2026 que trata do processo sancionador da CCEE.</t>
        </is>
      </c>
      <c r="I66" s="2" t="inlineStr">
        <is>
          <t>Subject of CP 33/2025 and CP 17/2026. CP No. 17/2026, which addresses CCEE’s Market Monitoring Sanctioning Process, is open for contributions until August 3rd, 2026.</t>
        </is>
      </c>
      <c r="J66" s="2" t="n"/>
      <c r="K66" s="2" t="n">
        <v>7</v>
      </c>
      <c r="L66" s="2" t="inlineStr">
        <is>
          <t>TRUE</t>
        </is>
      </c>
      <c r="M66" s="2" t="inlineStr">
        <is>
          <t>mercado; ccee; aneel</t>
        </is>
      </c>
    </row>
    <row r="67" ht="41.4" customHeight="1" s="30">
      <c r="A67" s="23" t="n">
        <v>63</v>
      </c>
      <c r="B67" s="23" t="n">
        <v>3</v>
      </c>
      <c r="C67" s="23" t="inlineStr">
        <is>
          <t>pendencias-regulatorias-aneel</t>
        </is>
      </c>
      <c r="D67" s="23" t="inlineStr">
        <is>
          <t>ANEEL</t>
        </is>
      </c>
      <c r="E67" s="23" t="inlineStr">
        <is>
          <t>Ajustes no início da cobrança do CUST para geradores com prorrogação de prazos</t>
        </is>
      </c>
      <c r="F67" s="23" t="inlineStr">
        <is>
          <t>Adjustments to the beginning of CUST charges for renewable generators with postponed commercial operation dates</t>
        </is>
      </c>
      <c r="G67" s="23" t="inlineStr">
        <is>
          <t>waiting_decision</t>
        </is>
      </c>
      <c r="H67" s="23" t="inlineStr">
        <is>
          <t>Tema da CP 08/2026, encerrada em 12 de maio. Próximos passos: a Diretoria da ANEEL discutirá os resultados da CP e uma Resolução será publicada.</t>
        </is>
      </c>
      <c r="I67" s="23" t="inlineStr">
        <is>
          <t>Subject of CP 08/2026. ANEEL’s Board will discuss CP results, and a Resolution will be published.</t>
        </is>
      </c>
      <c r="J67" s="23" t="n"/>
      <c r="K67" s="23" t="n">
        <v>8</v>
      </c>
      <c r="L67" s="23" t="inlineStr">
        <is>
          <t>TRUE</t>
        </is>
      </c>
      <c r="M67" s="23" t="inlineStr">
        <is>
          <t>cust; geração; aneel</t>
        </is>
      </c>
    </row>
    <row r="68" ht="55.2" customHeight="1" s="30">
      <c r="A68" s="2" t="n">
        <v>64</v>
      </c>
      <c r="B68" s="2" t="n">
        <v>3</v>
      </c>
      <c r="C68" s="2" t="inlineStr">
        <is>
          <t>pendencias-regulatorias-aneel</t>
        </is>
      </c>
      <c r="D68" s="2" t="inlineStr">
        <is>
          <t>ANEEL</t>
        </is>
      </c>
      <c r="E68" s="2" t="inlineStr">
        <is>
          <t>Liquidação dos Encargos de Uso do Sistema de Transmissão - EUST</t>
        </is>
      </c>
      <c r="F68" s="2" t="inlineStr">
        <is>
          <t>Enhancement of the Settlement of Transmission System Usage Charges (EUST)</t>
        </is>
      </c>
      <c r="G68" s="2" t="inlineStr">
        <is>
          <t>in_progress</t>
        </is>
      </c>
      <c r="H68" s="2" t="inlineStr">
        <is>
          <t>Resultado da CP 75/2020. Próximos passos: o ONS tem até 01/07/2027 para concluir a implementação de plataforma única para liquidação financeira do EUST, conforme Despacho 1.442/2025.</t>
        </is>
      </c>
      <c r="I68" s="2" t="inlineStr">
        <is>
          <t>Decision published under ANEEL Order 1442/2025. Next steps: ONS to deploy a single platform for the financial settlement of EUST by July 1st, 2027.</t>
        </is>
      </c>
      <c r="J68" s="2" t="n"/>
      <c r="K68" s="2" t="n">
        <v>9</v>
      </c>
      <c r="L68" s="2" t="inlineStr">
        <is>
          <t>TRUE</t>
        </is>
      </c>
      <c r="M68" s="2" t="inlineStr">
        <is>
          <t>eust; transmissão; ons; aneel</t>
        </is>
      </c>
    </row>
    <row r="69" ht="55.2" customHeight="1" s="30">
      <c r="A69" s="23" t="n">
        <v>65</v>
      </c>
      <c r="B69" s="23" t="n">
        <v>3</v>
      </c>
      <c r="C69" s="23" t="inlineStr">
        <is>
          <t>pendencias-regulatorias-aneel</t>
        </is>
      </c>
      <c r="D69" s="23" t="inlineStr">
        <is>
          <t>ANEEL</t>
        </is>
      </c>
      <c r="E69" s="23" t="inlineStr">
        <is>
          <t>Alteração do Submódulo 5.2 do PRORET para incluir o teto da CDE, o Encargo de Complemento de Recursos e sua operacionalização</t>
        </is>
      </c>
      <c r="F69" s="23" t="inlineStr">
        <is>
          <t>CDE cap, the Resource Complement Charge, and its operationalization</t>
        </is>
      </c>
      <c r="G69" s="23" t="inlineStr">
        <is>
          <t>not_started</t>
        </is>
      </c>
      <c r="H69" s="23" t="inlineStr">
        <is>
          <t>Tema em linha com o que foi instituído pela Lei 15.269/2025. Previsão de abertura de CP em 2026.</t>
        </is>
      </c>
      <c r="I69" s="23" t="inlineStr">
        <is>
          <t>CP expected to be opened in 2026. Complies with the technical provisions established by Law 15269/2025.</t>
        </is>
      </c>
      <c r="J69" s="23" t="n"/>
      <c r="K69" s="23" t="n">
        <v>10</v>
      </c>
      <c r="L69" s="23" t="inlineStr">
        <is>
          <t>TRUE</t>
        </is>
      </c>
      <c r="M69" s="23" t="inlineStr">
        <is>
          <t>cde; proret; aneel</t>
        </is>
      </c>
    </row>
    <row r="70" ht="55.2" customHeight="1" s="30">
      <c r="A70" s="2" t="n">
        <v>66</v>
      </c>
      <c r="B70" s="2" t="n">
        <v>3</v>
      </c>
      <c r="C70" s="2" t="inlineStr">
        <is>
          <t>pendencias-regulatorias-aneel</t>
        </is>
      </c>
      <c r="D70" s="2" t="inlineStr">
        <is>
          <t>ANEEL</t>
        </is>
      </c>
      <c r="E70" s="2" t="inlineStr">
        <is>
          <t>Revisão da REN 1.031/2022, no que se refere aos descontos na tarifa de uso dos sistemas de distribuição e transmissão para fontes incentivadas</t>
        </is>
      </c>
      <c r="F70" s="2" t="inlineStr">
        <is>
          <t>Discounts on transmission and distribution wire tariffs for incentivized sources</t>
        </is>
      </c>
      <c r="G70" s="2" t="inlineStr">
        <is>
          <t>not_started</t>
        </is>
      </c>
      <c r="H70" s="2" t="inlineStr">
        <is>
          <t>Tema em linha com o que foi instituído pela Lei 15.269/2025. Previsão de abertura de CP em 2026.</t>
        </is>
      </c>
      <c r="I70" s="2" t="inlineStr">
        <is>
          <t>CP expected to be opened in 2026. Complies with the technical provisions established by Law 15269/2025.</t>
        </is>
      </c>
      <c r="J70" s="2" t="n"/>
      <c r="K70" s="2" t="n">
        <v>11</v>
      </c>
      <c r="L70" s="2" t="inlineStr">
        <is>
          <t>TRUE</t>
        </is>
      </c>
      <c r="M70" s="2" t="inlineStr">
        <is>
          <t>tusd; tust; fontes-incentivadas</t>
        </is>
      </c>
    </row>
    <row r="71" ht="41.4" customHeight="1" s="30">
      <c r="A71" s="23" t="n">
        <v>67</v>
      </c>
      <c r="B71" s="23" t="n">
        <v>3</v>
      </c>
      <c r="C71" s="23" t="inlineStr">
        <is>
          <t>pendencias-regulatorias-aneel</t>
        </is>
      </c>
      <c r="D71" s="23" t="inlineStr">
        <is>
          <t>ANEEL</t>
        </is>
      </c>
      <c r="E71" s="23" t="inlineStr">
        <is>
          <t>Aprimoramento da regulamentação com vistas ao fim do direito ao desconto na TUSD/TUST de consumidores livres</t>
        </is>
      </c>
      <c r="F71" s="23" t="inlineStr">
        <is>
          <t>End of the right to wire tariff discounts for free consumers</t>
        </is>
      </c>
      <c r="G71" s="23" t="inlineStr">
        <is>
          <t>not_started</t>
        </is>
      </c>
      <c r="H71" s="23" t="inlineStr">
        <is>
          <t>Tema em linha com o que foi instituído pela Lei 15.269/2025. Previsão de abertura de CP em 2026.</t>
        </is>
      </c>
      <c r="I71" s="23" t="inlineStr">
        <is>
          <t>CP expected to be opened in 2026. Complies with the technical provisions established by Law 15269/2025.</t>
        </is>
      </c>
      <c r="J71" s="23" t="n"/>
      <c r="K71" s="23" t="n">
        <v>12</v>
      </c>
      <c r="L71" s="23" t="inlineStr">
        <is>
          <t>TRUE</t>
        </is>
      </c>
      <c r="M71" s="23" t="inlineStr">
        <is>
          <t>mercado-livre; tusd; tust</t>
        </is>
      </c>
    </row>
    <row r="72" ht="41.4" customHeight="1" s="30">
      <c r="A72" s="2" t="n">
        <v>68</v>
      </c>
      <c r="B72" s="2" t="n">
        <v>3</v>
      </c>
      <c r="C72" s="2" t="inlineStr">
        <is>
          <t>pendencias-regulatorias-aneel</t>
        </is>
      </c>
      <c r="D72" s="2" t="inlineStr">
        <is>
          <t>ANEEL</t>
        </is>
      </c>
      <c r="E72" s="2" t="inlineStr">
        <is>
          <t>Atualização da metodologia de cálculo dos limites máximos do Preço de Liquidação das Diferenças – PLD</t>
        </is>
      </c>
      <c r="F72" s="2" t="inlineStr">
        <is>
          <t>Update of the methodology for calculating the maximum limits of the Spot Price (PLD)</t>
        </is>
      </c>
      <c r="G72" s="2" t="inlineStr">
        <is>
          <t>not_started</t>
        </is>
      </c>
      <c r="H72" s="2" t="inlineStr">
        <is>
          <t>Previsão de abertura de CP em 2026.</t>
        </is>
      </c>
      <c r="I72" s="2" t="inlineStr">
        <is>
          <t>CP expected to be opened in 2026.</t>
        </is>
      </c>
      <c r="J72" s="2" t="n"/>
      <c r="K72" s="2" t="n">
        <v>13</v>
      </c>
      <c r="L72" s="2" t="inlineStr">
        <is>
          <t>TRUE</t>
        </is>
      </c>
      <c r="M72" s="2" t="inlineStr">
        <is>
          <t>pld; preços</t>
        </is>
      </c>
    </row>
    <row r="73" ht="27.6" customHeight="1" s="30">
      <c r="A73" s="23" t="n">
        <v>69</v>
      </c>
      <c r="B73" s="23" t="n">
        <v>3</v>
      </c>
      <c r="C73" s="23" t="inlineStr">
        <is>
          <t>pendencias-regulatorias-aneel</t>
        </is>
      </c>
      <c r="D73" s="23" t="inlineStr">
        <is>
          <t>ANEEL</t>
        </is>
      </c>
      <c r="E73" s="23" t="inlineStr">
        <is>
          <t>Aprimoramento das Regras de Comercialização 2027</t>
        </is>
      </c>
      <c r="F73" s="23" t="inlineStr">
        <is>
          <t>Commercialization Rules version 2027</t>
        </is>
      </c>
      <c r="G73" s="23" t="inlineStr">
        <is>
          <t>not_started</t>
        </is>
      </c>
      <c r="H73" s="23" t="inlineStr">
        <is>
          <t>Previsão de abertura de CP em 2026.</t>
        </is>
      </c>
      <c r="I73" s="23" t="inlineStr">
        <is>
          <t>CP expected to be opened in 2026.</t>
        </is>
      </c>
      <c r="J73" s="23" t="n"/>
      <c r="K73" s="23" t="n">
        <v>14</v>
      </c>
      <c r="L73" s="23" t="inlineStr">
        <is>
          <t>TRUE</t>
        </is>
      </c>
      <c r="M73" s="23" t="inlineStr">
        <is>
          <t>regras; ccee</t>
        </is>
      </c>
    </row>
    <row r="74" ht="41.4" customHeight="1" s="30">
      <c r="A74" s="2" t="n">
        <v>70</v>
      </c>
      <c r="B74" s="2" t="n">
        <v>3</v>
      </c>
      <c r="C74" s="2" t="inlineStr">
        <is>
          <t>pendencias-regulatorias-aneel</t>
        </is>
      </c>
      <c r="D74" s="2" t="inlineStr">
        <is>
          <t>ANEEL</t>
        </is>
      </c>
      <c r="E74" s="2" t="inlineStr">
        <is>
          <t>Avaliação quanto a inversão de Fluxo da MMGD no âmbito da contabilização e liquidação da CCEE</t>
        </is>
      </c>
      <c r="F74" s="2" t="inlineStr">
        <is>
          <t>Distributed Generation (MMGD) flow reversal within the scope of CCEE accounting and settlement</t>
        </is>
      </c>
      <c r="G74" s="2" t="inlineStr">
        <is>
          <t>not_started</t>
        </is>
      </c>
      <c r="H74" s="2" t="inlineStr">
        <is>
          <t>Previsão de abertura de CP em 2026.</t>
        </is>
      </c>
      <c r="I74" s="2" t="inlineStr">
        <is>
          <t>CP expected to be opened in 2026.</t>
        </is>
      </c>
      <c r="J74" s="2" t="n"/>
      <c r="K74" s="2" t="n">
        <v>15</v>
      </c>
      <c r="L74" s="2" t="inlineStr">
        <is>
          <t>TRUE</t>
        </is>
      </c>
      <c r="M74" s="2" t="inlineStr">
        <is>
          <t>mmgd; ccee</t>
        </is>
      </c>
    </row>
    <row r="75" ht="41.4" customHeight="1" s="30">
      <c r="A75" s="23" t="n">
        <v>71</v>
      </c>
      <c r="B75" s="23" t="n">
        <v>3</v>
      </c>
      <c r="C75" s="23" t="inlineStr">
        <is>
          <t>pendencias-regulatorias-aneel</t>
        </is>
      </c>
      <c r="D75" s="23" t="inlineStr">
        <is>
          <t>ANEEL</t>
        </is>
      </c>
      <c r="E75" s="23" t="inlineStr">
        <is>
          <t>Avaliação das metodologias de cálculo do PLD mínimo e de definição da Tarifa de Energia de Otimização – TEO</t>
        </is>
      </c>
      <c r="F75" s="23" t="inlineStr">
        <is>
          <t>Methodologies for calculating the minimum PLD and Energy Optimization Tariff (TEO)</t>
        </is>
      </c>
      <c r="G75" s="23" t="inlineStr">
        <is>
          <t>not_started</t>
        </is>
      </c>
      <c r="H75" s="23" t="inlineStr">
        <is>
          <t>Previsão de abertura de CP em 2026.</t>
        </is>
      </c>
      <c r="I75" s="23" t="inlineStr">
        <is>
          <t>CP expected to be opened in 2026.</t>
        </is>
      </c>
      <c r="J75" s="23" t="n"/>
      <c r="K75" s="23" t="n">
        <v>16</v>
      </c>
      <c r="L75" s="23" t="inlineStr">
        <is>
          <t>TRUE</t>
        </is>
      </c>
      <c r="M75" s="23" t="inlineStr">
        <is>
          <t>pld; teo</t>
        </is>
      </c>
    </row>
    <row r="76" ht="55.2" customHeight="1" s="30">
      <c r="A76" s="2" t="n">
        <v>72</v>
      </c>
      <c r="B76" s="2" t="n">
        <v>3</v>
      </c>
      <c r="C76" s="2" t="inlineStr">
        <is>
          <t>pendencias-regulatorias-aneel</t>
        </is>
      </c>
      <c r="D76" s="2" t="inlineStr">
        <is>
          <t>ANEEL</t>
        </is>
      </c>
      <c r="E76" s="2" t="inlineStr">
        <is>
          <t>Aprimoramento da regulamentação para que a liquidação no MCP utilize o mecanismo de dupla contabilização (PLD ex-ante e ex-post)</t>
        </is>
      </c>
      <c r="F76" s="2" t="inlineStr">
        <is>
          <t>Settlement of the short-term market using the dual accounting mechanism (ex-ante and ex-post PLD)</t>
        </is>
      </c>
      <c r="G76" s="2" t="inlineStr">
        <is>
          <t>not_started</t>
        </is>
      </c>
      <c r="H76" s="2" t="inlineStr">
        <is>
          <t>Previsão de abertura de CP em 2026.</t>
        </is>
      </c>
      <c r="I76" s="2" t="inlineStr">
        <is>
          <t>CP expected to be opened in 2026.</t>
        </is>
      </c>
      <c r="J76" s="2" t="n"/>
      <c r="K76" s="2" t="n">
        <v>17</v>
      </c>
      <c r="L76" s="2" t="inlineStr">
        <is>
          <t>TRUE</t>
        </is>
      </c>
      <c r="M76" s="2" t="inlineStr">
        <is>
          <t>mcp; pld</t>
        </is>
      </c>
    </row>
    <row r="77" ht="27.6" customHeight="1" s="30">
      <c r="A77" s="23" t="n">
        <v>73</v>
      </c>
      <c r="B77" s="23" t="n">
        <v>3</v>
      </c>
      <c r="C77" s="23" t="inlineStr">
        <is>
          <t>pendencias-regulatorias-aneel</t>
        </is>
      </c>
      <c r="D77" s="23" t="inlineStr">
        <is>
          <t>ANEEL</t>
        </is>
      </c>
      <c r="E77" s="23" t="inlineStr">
        <is>
          <t>Aprimoramento do Rateio dos custos de Reserva de Capacidade</t>
        </is>
      </c>
      <c r="F77" s="23" t="inlineStr">
        <is>
          <t>Allocation of Capacity Reserve costs</t>
        </is>
      </c>
      <c r="G77" s="23" t="inlineStr">
        <is>
          <t>not_started</t>
        </is>
      </c>
      <c r="H77" s="23" t="inlineStr">
        <is>
          <t>Previsão de abertura de CP em 2027.</t>
        </is>
      </c>
      <c r="I77" s="23" t="inlineStr">
        <is>
          <t>CP expected to be opened in 2027.</t>
        </is>
      </c>
      <c r="J77" s="23" t="n"/>
      <c r="K77" s="23" t="n">
        <v>18</v>
      </c>
      <c r="L77" s="23" t="inlineStr">
        <is>
          <t>TRUE</t>
        </is>
      </c>
      <c r="M77" s="23" t="inlineStr">
        <is>
          <t>reserva-de-capacidade</t>
        </is>
      </c>
    </row>
    <row r="78" ht="27.6" customHeight="1" s="30">
      <c r="A78" s="2" t="n">
        <v>74</v>
      </c>
      <c r="B78" s="2" t="n">
        <v>3</v>
      </c>
      <c r="C78" s="2" t="inlineStr">
        <is>
          <t>pendencias-regulatorias-aneel</t>
        </is>
      </c>
      <c r="D78" s="2" t="inlineStr">
        <is>
          <t>ANEEL</t>
        </is>
      </c>
      <c r="E78" s="2" t="inlineStr">
        <is>
          <t>Aprimoramentos regulatórios relacionados à abertura do mercado para o Grupo B</t>
        </is>
      </c>
      <c r="F78" s="2" t="inlineStr">
        <is>
          <t>Market opening for Group B consumers</t>
        </is>
      </c>
      <c r="G78" s="2" t="inlineStr">
        <is>
          <t>not_started</t>
        </is>
      </c>
      <c r="H78" s="2" t="inlineStr">
        <is>
          <t>Tema em linha com o que foi instituído pela Lei 15.269/2025. Previsão de abertura de CP em 2027.</t>
        </is>
      </c>
      <c r="I78" s="2" t="inlineStr">
        <is>
          <t>CP expected to be opened in 2026. Complies with Law 15,269/2025.</t>
        </is>
      </c>
      <c r="J78" s="2" t="n"/>
      <c r="K78" s="2" t="n">
        <v>19</v>
      </c>
      <c r="L78" s="23" t="inlineStr">
        <is>
          <t>TRUE</t>
        </is>
      </c>
      <c r="M78" s="2" t="inlineStr">
        <is>
          <t>mercado-livre; grupo-b</t>
        </is>
      </c>
    </row>
    <row r="79" ht="27.6" customHeight="1" s="30">
      <c r="A79" s="23" t="n">
        <v>75</v>
      </c>
      <c r="B79" s="23" t="n">
        <v>3</v>
      </c>
      <c r="C79" s="23" t="inlineStr">
        <is>
          <t>pendencias-regulatorias-aneel</t>
        </is>
      </c>
      <c r="D79" s="23" t="inlineStr">
        <is>
          <t>ANEEL</t>
        </is>
      </c>
      <c r="E79" s="23" t="inlineStr">
        <is>
          <t>Aprimoramento das regras de acesso ao sistema de transmissão</t>
        </is>
      </c>
      <c r="F79" s="23" t="inlineStr">
        <is>
          <t>Transmission system access rules</t>
        </is>
      </c>
      <c r="G79" s="23" t="inlineStr">
        <is>
          <t>not_started</t>
        </is>
      </c>
      <c r="H79" s="23" t="inlineStr">
        <is>
          <t>Previsão de abertura de CP em 2027.</t>
        </is>
      </c>
      <c r="I79" s="23" t="inlineStr">
        <is>
          <t>CP expected to be opened in 2027.</t>
        </is>
      </c>
      <c r="J79" s="23" t="n"/>
      <c r="K79" s="23" t="n">
        <v>20</v>
      </c>
      <c r="L79" s="2" t="inlineStr">
        <is>
          <t>TRUE</t>
        </is>
      </c>
      <c r="M79" s="23" t="inlineStr">
        <is>
          <t>transmissao; acesso</t>
        </is>
      </c>
    </row>
    <row r="80" ht="27.6" customHeight="1" s="30">
      <c r="A80" s="2" t="n">
        <v>76</v>
      </c>
      <c r="B80" s="2" t="n">
        <v>3</v>
      </c>
      <c r="C80" s="2" t="inlineStr">
        <is>
          <t>pendencias-regulatorias-mme</t>
        </is>
      </c>
      <c r="D80" s="2" t="inlineStr">
        <is>
          <t>MME</t>
        </is>
      </c>
      <c r="E80" s="2" t="inlineStr">
        <is>
          <t>Compensação por cortes de geração eólica ou solar</t>
        </is>
      </c>
      <c r="F80" s="2" t="inlineStr">
        <is>
          <t>Compensation for wind or solar generation curtailment</t>
        </is>
      </c>
      <c r="G80" s="2" t="inlineStr">
        <is>
          <t>in_progress</t>
        </is>
      </c>
      <c r="H80" s="2" t="inlineStr">
        <is>
          <t>Aguarda desdobramento da CP 210/2025 que encerrou em 16 de janeiro de 2026.</t>
        </is>
      </c>
      <c r="I80" s="2" t="inlineStr">
        <is>
          <t>Subject of CP 210/2025. Next steps: awaiting results of CP, which closed on January 16th.</t>
        </is>
      </c>
      <c r="J80" s="2" t="n"/>
      <c r="K80" s="2" t="n">
        <v>1</v>
      </c>
      <c r="L80" s="23" t="inlineStr">
        <is>
          <t>TRUE</t>
        </is>
      </c>
      <c r="M80" s="2" t="inlineStr">
        <is>
          <t>curtailment; eolica; solar; mme</t>
        </is>
      </c>
    </row>
    <row r="81" ht="41.4" customHeight="1" s="30">
      <c r="A81" s="23" t="n">
        <v>77</v>
      </c>
      <c r="B81" s="23" t="n">
        <v>3</v>
      </c>
      <c r="C81" s="23" t="inlineStr">
        <is>
          <t>pendencias-regulatorias-mme</t>
        </is>
      </c>
      <c r="D81" s="23" t="inlineStr">
        <is>
          <t>MME</t>
        </is>
      </c>
      <c r="E81" s="23" t="inlineStr">
        <is>
          <t>Liberalização do mercado para consumidores de baixa tensão e regras para o Supridor de Última Instância (SUI)</t>
        </is>
      </c>
      <c r="F81" s="23" t="inlineStr">
        <is>
          <t>Market liberalization for low voltage consumers and rules for Supplier of Last Resort (SUI)</t>
        </is>
      </c>
      <c r="G81" s="23" t="inlineStr">
        <is>
          <t>in_progress</t>
        </is>
      </c>
      <c r="H81" s="23" t="inlineStr">
        <is>
          <t>Tema da CP 196/2025. Próximos passos: aguardando desdobramentos da Lei 15.269/2025.</t>
        </is>
      </c>
      <c r="I81" s="23" t="inlineStr">
        <is>
          <t>Subject of CP 196/2025. Next steps: awaiting further developments after Law 15269/2025.</t>
        </is>
      </c>
      <c r="J81" s="23" t="n"/>
      <c r="K81" s="23" t="n">
        <v>2</v>
      </c>
      <c r="L81" s="2" t="inlineStr">
        <is>
          <t>TRUE</t>
        </is>
      </c>
      <c r="M81" s="23" t="inlineStr">
        <is>
          <t>mercado-livre; baixa-tensao; mme</t>
        </is>
      </c>
    </row>
    <row r="82" ht="55.2" customHeight="1" s="30">
      <c r="A82" s="2" t="n">
        <v>78</v>
      </c>
      <c r="B82" s="2" t="n">
        <v>3</v>
      </c>
      <c r="C82" s="2" t="inlineStr">
        <is>
          <t>pendencias-regulatorias-mme</t>
        </is>
      </c>
      <c r="D82" s="2" t="inlineStr">
        <is>
          <t>MME</t>
        </is>
      </c>
      <c r="E82" s="2" t="inlineStr">
        <is>
          <t>Diretrizes para decisões do Comitê de Monitoramento do Setor Elétrico (CMSE) sobre despacho para segurança do suprimento</t>
        </is>
      </c>
      <c r="F82" s="2" t="inlineStr">
        <is>
          <t>Guidelines for Monitoring Committee (CMSE) decisions on dispatch for supply-security</t>
        </is>
      </c>
      <c r="G82" s="2" t="inlineStr">
        <is>
          <t>in_progress</t>
        </is>
      </c>
      <c r="H82" s="2" t="inlineStr">
        <is>
          <t>Tema da CP 193/2025. Próximos passos: publicação de Portaria Normativa pelo MME.</t>
        </is>
      </c>
      <c r="I82" s="2" t="inlineStr">
        <is>
          <t>Subject of CP 193/2025. Next steps: publication of a Normative Ordinance by MME.</t>
        </is>
      </c>
      <c r="J82" s="2" t="n"/>
      <c r="K82" s="2" t="n">
        <v>3</v>
      </c>
      <c r="L82" s="23" t="inlineStr">
        <is>
          <t>TRUE</t>
        </is>
      </c>
      <c r="M82" s="2" t="inlineStr">
        <is>
          <t>cmse; despacho; mme</t>
        </is>
      </c>
    </row>
    <row r="83" ht="27.6" customHeight="1" s="30">
      <c r="A83" s="23" t="n">
        <v>79</v>
      </c>
      <c r="B83" s="23" t="n">
        <v>3</v>
      </c>
      <c r="C83" s="23" t="inlineStr">
        <is>
          <t>pendencias-regulatorias-mme</t>
        </is>
      </c>
      <c r="D83" s="23" t="inlineStr">
        <is>
          <t>MME</t>
        </is>
      </c>
      <c r="E83" s="23" t="inlineStr">
        <is>
          <t>Diretrizes para a Implementação de Curto Prazo de Medidores Inteligentes</t>
        </is>
      </c>
      <c r="F83" s="23" t="inlineStr">
        <is>
          <t>Guidelines for the short-term implementation of Smart Meters</t>
        </is>
      </c>
      <c r="G83" s="23" t="inlineStr">
        <is>
          <t>in_progress</t>
        </is>
      </c>
      <c r="H83" s="23" t="inlineStr">
        <is>
          <t>Tema da CP 198/2025. Próximos passos: publicação de Portaria Normativa pelo MME.</t>
        </is>
      </c>
      <c r="I83" s="23" t="inlineStr">
        <is>
          <t>Subject of CP 198/2025. Next steps: publication of a Normative Ordinance by MME.</t>
        </is>
      </c>
      <c r="J83" s="23" t="n"/>
      <c r="K83" s="23" t="n">
        <v>4</v>
      </c>
      <c r="L83" s="2" t="inlineStr">
        <is>
          <t>TRUE</t>
        </is>
      </c>
      <c r="M83" s="23" t="inlineStr">
        <is>
          <t>medidores-inteligentes; mme</t>
        </is>
      </c>
    </row>
    <row r="84" ht="55.2" customHeight="1" s="30">
      <c r="A84" s="2" t="n">
        <v>80</v>
      </c>
      <c r="B84" s="2" t="n">
        <v>3</v>
      </c>
      <c r="C84" s="2" t="inlineStr">
        <is>
          <t>pendencias-regulatorias-mme</t>
        </is>
      </c>
      <c r="D84" s="2" t="inlineStr">
        <is>
          <t>MME</t>
        </is>
      </c>
      <c r="E84" s="2" t="inlineStr">
        <is>
          <t>Diretrizes para o CMSE avaliar e aprovar a antecipação da entrada em operação de usinas contratadas em leilões de reserva de capacidade</t>
        </is>
      </c>
      <c r="F84" s="2" t="inlineStr">
        <is>
          <t>Anticipation of Commercial Operation for Plants Contracted in Capacity Reserve Auctions</t>
        </is>
      </c>
      <c r="G84" s="2" t="inlineStr">
        <is>
          <t>in_progress</t>
        </is>
      </c>
      <c r="H84" s="2" t="inlineStr">
        <is>
          <t>Tema da CP 212/2026. Próximos passos: publicação de Portaria Normativa pelo MME.</t>
        </is>
      </c>
      <c r="I84" s="2" t="inlineStr">
        <is>
          <t>Subject of CP 212/2026. Next steps: publication of a Normative Ordinance by the MME.</t>
        </is>
      </c>
      <c r="J84" s="2" t="n"/>
      <c r="K84" s="2" t="n">
        <v>5</v>
      </c>
      <c r="L84" s="23" t="inlineStr">
        <is>
          <t>TRUE</t>
        </is>
      </c>
      <c r="M84" s="2" t="inlineStr">
        <is>
          <t>cmse; reserva-de-capacidade; mme</t>
        </is>
      </c>
    </row>
    <row r="85" ht="27.6" customHeight="1" s="30">
      <c r="A85" s="23" t="n">
        <v>81</v>
      </c>
      <c r="B85" s="23" t="n">
        <v>3</v>
      </c>
      <c r="C85" s="23" t="inlineStr">
        <is>
          <t>pendencias-regulatorias-mme</t>
        </is>
      </c>
      <c r="D85" s="23" t="inlineStr">
        <is>
          <t>MME</t>
        </is>
      </c>
      <c r="E85" s="23" t="inlineStr">
        <is>
          <t>Contabilização Dupla no Mercado de Curto Prazo – MCP</t>
        </is>
      </c>
      <c r="F85" s="23" t="inlineStr">
        <is>
          <t>Double Settlement in the Short-Term Market (MCP)</t>
        </is>
      </c>
      <c r="G85" s="23" t="inlineStr">
        <is>
          <t>in_progress</t>
        </is>
      </c>
      <c r="H85" s="23" t="inlineStr">
        <is>
          <t>Tema da CP 218/2026. Próximos passos: publicação de Portaria Normativa pelo MME.</t>
        </is>
      </c>
      <c r="I85" s="23" t="inlineStr">
        <is>
          <t>Subject of CP 218/2026. Next steps: publication of a Ministerial Ordinance by MME.</t>
        </is>
      </c>
      <c r="J85" s="23" t="n"/>
      <c r="K85" s="23" t="n">
        <v>6</v>
      </c>
      <c r="L85" s="23" t="inlineStr">
        <is>
          <t>TRUE</t>
        </is>
      </c>
      <c r="M85" s="23" t="inlineStr">
        <is>
          <t>mcp; mme</t>
        </is>
      </c>
    </row>
    <row r="86" ht="41.4" customHeight="1" s="30">
      <c r="A86" s="2" t="n">
        <v>82</v>
      </c>
      <c r="B86" s="2" t="n">
        <v>3</v>
      </c>
      <c r="C86" s="2" t="inlineStr">
        <is>
          <t>pendencias-regulatorias-mme</t>
        </is>
      </c>
      <c r="D86" s="2" t="inlineStr">
        <is>
          <t>MME</t>
        </is>
      </c>
      <c r="E86" s="2" t="inlineStr">
        <is>
          <t>Revisão da Capacidade Comercial para usinas solares, eólicas e pequenas centrais hidrelétricas (PCHs)</t>
        </is>
      </c>
      <c r="F86" s="2" t="inlineStr">
        <is>
          <t>Commercial Capacity review for solar, wind and small hydro plants</t>
        </is>
      </c>
      <c r="G86" s="2" t="inlineStr">
        <is>
          <t>not_started</t>
        </is>
      </c>
      <c r="H86" s="2" t="inlineStr">
        <is>
          <t>O tema está na agenda regulatória do MME e está programado para ser discutido por meio de CP em 2026.</t>
        </is>
      </c>
      <c r="I86" s="2" t="inlineStr">
        <is>
          <t>The subject is at MME regulatory agenda, and it is scheduled to be discussed via CP in 2026.</t>
        </is>
      </c>
      <c r="J86" s="2" t="n"/>
      <c r="K86" s="2" t="n">
        <v>7</v>
      </c>
      <c r="L86" s="2" t="inlineStr">
        <is>
          <t>TRUE</t>
        </is>
      </c>
      <c r="M86" s="2" t="inlineStr">
        <is>
          <t>capacidade-comercial; mme</t>
        </is>
      </c>
    </row>
    <row r="87" ht="41.4" customHeight="1" s="30">
      <c r="A87" s="23" t="n">
        <v>83</v>
      </c>
      <c r="B87" s="23" t="n">
        <v>3</v>
      </c>
      <c r="C87" s="23" t="inlineStr">
        <is>
          <t>pendencias-regulatorias-mme</t>
        </is>
      </c>
      <c r="D87" s="23" t="inlineStr">
        <is>
          <t>MME</t>
        </is>
      </c>
      <c r="E87" s="23" t="inlineStr">
        <is>
          <t>Atualização do Regimento Interno do CMSE</t>
        </is>
      </c>
      <c r="F87" s="23" t="inlineStr">
        <is>
          <t>Update of CMSE’s Internal Regulations</t>
        </is>
      </c>
      <c r="G87" s="23" t="inlineStr">
        <is>
          <t>not_started</t>
        </is>
      </c>
      <c r="H87" s="23" t="inlineStr">
        <is>
          <t>O tema está na agenda regulatória do MME e está programado para ser discutido por meio de CP em 2026.</t>
        </is>
      </c>
      <c r="I87" s="23" t="inlineStr">
        <is>
          <t>The topic is expected to be discussed through a CP in 2026.</t>
        </is>
      </c>
      <c r="J87" s="23" t="n"/>
      <c r="K87" s="23" t="n">
        <v>8</v>
      </c>
      <c r="L87" s="23" t="inlineStr">
        <is>
          <t>TRUE</t>
        </is>
      </c>
      <c r="M87" s="23" t="inlineStr">
        <is>
          <t>cmse; mme</t>
        </is>
      </c>
    </row>
  </sheetData>
  <mergeCells count="2">
    <mergeCell ref="A2:M2"/>
    <mergeCell ref="A1:M1"/>
  </mergeCells>
  <dataValidations count="2">
    <dataValidation sqref="G5:G104" showDropDown="0" showInputMessage="0" showErrorMessage="0" allowBlank="0" type="list">
      <formula1>"not_started,started,in_progress,waiting_decision,completed"</formula1>
    </dataValidation>
    <dataValidation sqref="L5:L104" showDropDown="0" showInputMessage="0" showErrorMessage="0" allowBlank="0" type="list">
      <formula1>"TRUE,FALSE"</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P12"/>
  <sheetViews>
    <sheetView topLeftCell="L9" workbookViewId="0">
      <selection activeCell="L12" sqref="L12"/>
    </sheetView>
  </sheetViews>
  <sheetFormatPr baseColWidth="8" defaultColWidth="8.8984375" defaultRowHeight="13.8"/>
  <cols>
    <col width="10" customWidth="1" style="30" min="1" max="2"/>
    <col width="18" customWidth="1" style="30" min="3" max="7"/>
    <col width="36" customWidth="1" style="30" min="8" max="9"/>
    <col width="18" customWidth="1" style="30" min="10" max="10"/>
    <col width="46" customWidth="1" style="30" min="11" max="12"/>
    <col width="26" customWidth="1" style="30" min="13" max="13"/>
    <col width="10" customWidth="1" style="30" min="14" max="15"/>
    <col width="26" customWidth="1" style="30" min="16" max="16"/>
  </cols>
  <sheetData>
    <row r="1" ht="26.1" customHeight="1" s="30">
      <c r="A1" s="31" t="inlineStr">
        <is>
          <t>06_consultas</t>
        </is>
      </c>
    </row>
    <row r="2" ht="30" customHeight="1" s="30">
      <c r="A2" s="32" t="inlineStr">
        <is>
          <t>CPs, Tomadas de Subsídios e Consultas Externas abertas/encerradas.</t>
        </is>
      </c>
    </row>
    <row r="4" ht="27.9" customHeight="1" s="30">
      <c r="A4" s="12" t="inlineStr">
        <is>
          <t>id</t>
        </is>
      </c>
      <c r="B4" s="12" t="inlineStr">
        <is>
          <t>edicao_id</t>
        </is>
      </c>
      <c r="C4" s="12" t="inlineStr">
        <is>
          <t>secao_slug</t>
        </is>
      </c>
      <c r="D4" s="12" t="inlineStr">
        <is>
          <t>orgao_sigla</t>
        </is>
      </c>
      <c r="E4" s="12" t="inlineStr">
        <is>
          <t>tipo_consulta_code</t>
        </is>
      </c>
      <c r="F4" s="12" t="inlineStr">
        <is>
          <t>status_consulta_code</t>
        </is>
      </c>
      <c r="G4" s="12" t="inlineStr">
        <is>
          <t>numero</t>
        </is>
      </c>
      <c r="H4" s="12" t="inlineStr">
        <is>
          <t>titulo_pt</t>
        </is>
      </c>
      <c r="I4" s="12" t="inlineStr">
        <is>
          <t>titulo_en</t>
        </is>
      </c>
      <c r="J4" s="12" t="inlineStr">
        <is>
          <t>prazo</t>
        </is>
      </c>
      <c r="K4" s="12" t="inlineStr">
        <is>
          <t>comentario_pt</t>
        </is>
      </c>
      <c r="L4" s="12" t="inlineStr">
        <is>
          <t>comentario_en</t>
        </is>
      </c>
      <c r="M4" s="12" t="inlineStr">
        <is>
          <t>link_referencia</t>
        </is>
      </c>
      <c r="N4" s="12" t="inlineStr">
        <is>
          <t>ordem</t>
        </is>
      </c>
      <c r="O4" s="12" t="inlineStr">
        <is>
          <t>ativo</t>
        </is>
      </c>
      <c r="P4" s="12" t="inlineStr">
        <is>
          <t>tags</t>
        </is>
      </c>
    </row>
    <row r="5" ht="82.8" customHeight="1" s="30">
      <c r="A5" s="2" t="n">
        <v>1</v>
      </c>
      <c r="B5" s="2" t="n">
        <v>1</v>
      </c>
      <c r="C5" s="2" t="inlineStr">
        <is>
          <t>temas-abertos-participacao-publica</t>
        </is>
      </c>
      <c r="D5" s="2" t="inlineStr">
        <is>
          <t>ANEEL</t>
        </is>
      </c>
      <c r="E5" s="2" t="inlineStr">
        <is>
          <t>cp</t>
        </is>
      </c>
      <c r="F5" s="2" t="inlineStr">
        <is>
          <t>open</t>
        </is>
      </c>
      <c r="G5" s="2" t="inlineStr">
        <is>
          <t>013</t>
        </is>
      </c>
      <c r="H5" s="2" t="inlineStr">
        <is>
          <t>Novo Submódulo dos Procedimentos de Rede para o cadastramento de representantes de agentes setoriais, empresas e instituições</t>
        </is>
      </c>
      <c r="I5" s="2" t="inlineStr">
        <is>
          <t>New Grid Procedures Submodule for the Registration of Representatives of Sector Agents, Companies, and Institutions</t>
        </is>
      </c>
      <c r="J5" s="3" t="n">
        <v>46195</v>
      </c>
      <c r="K5" s="2" t="inlineStr">
        <is>
          <t>A Consulta Pública tem como objetivo aprimorar e detalhar os procedimentos para cadastramento, manutenção e atualização dos dados referentes a pessoas jurídicas e seus representantes individuais, por meio da criação do Submódulo 1.4 dos Procedimentos de Rede.</t>
        </is>
      </c>
      <c r="L5" s="2" t="inlineStr">
        <is>
          <t>The CP aims to improve and further detail procedures for registration, maintenance and updating of data related to legal entities and individual representatives through the creation of Submodule 1.4 under the Grid Procedures.</t>
        </is>
      </c>
      <c r="M5" s="2" t="n"/>
      <c r="N5" s="2" t="n">
        <v>1</v>
      </c>
      <c r="O5" s="2" t="inlineStr">
        <is>
          <t>TRUE</t>
        </is>
      </c>
      <c r="P5" s="2" t="inlineStr">
        <is>
          <t>aneel; procedimentos-de-rede; cadastro</t>
        </is>
      </c>
    </row>
    <row r="6" ht="69" customHeight="1" s="30">
      <c r="A6" s="2" t="n">
        <v>2</v>
      </c>
      <c r="B6" s="2" t="n">
        <v>1</v>
      </c>
      <c r="C6" s="2" t="inlineStr">
        <is>
          <t>temas-abertos-participacao-publica</t>
        </is>
      </c>
      <c r="D6" s="2" t="inlineStr">
        <is>
          <t>ANEEL</t>
        </is>
      </c>
      <c r="E6" s="2" t="inlineStr">
        <is>
          <t>cp</t>
        </is>
      </c>
      <c r="F6" s="2" t="inlineStr">
        <is>
          <t>open</t>
        </is>
      </c>
      <c r="G6" s="2" t="inlineStr">
        <is>
          <t>016</t>
        </is>
      </c>
      <c r="H6" s="2" t="inlineStr">
        <is>
          <t>Modernização das Tarifas de Distribuição - Ciclo 1 (Custo Comercial)</t>
        </is>
      </c>
      <c r="I6" s="2" t="inlineStr">
        <is>
          <t>Modernization of Distribution Tariffs – Cycle 1</t>
        </is>
      </c>
      <c r="J6" s="3" t="n">
        <v>46242</v>
      </c>
      <c r="K6" s="2" t="inlineStr">
        <is>
          <t>A CP propõe substituir a atual taxa mínima de consumo por uma tarifa fixa mensal para consumidores de baixa tensão, destinada a cobrir custos comerciais das distribuidoras. A proposta prevê implementação a partir de 2029 para Tarifa Branca e SCEE.</t>
        </is>
      </c>
      <c r="L6" s="2" t="inlineStr">
        <is>
          <t>The CP proposes replacing the current minimum consumption charge with a fixed monthly fee for low-voltage consumers, designed to recover distributors’ commercial costs. Implementation is proposed from 2029 for White Tariff and net metering consumers.</t>
        </is>
      </c>
      <c r="M6" s="2" t="n"/>
      <c r="N6" s="2" t="n">
        <v>2</v>
      </c>
      <c r="O6" s="2" t="inlineStr">
        <is>
          <t>TRUE</t>
        </is>
      </c>
      <c r="P6" s="2" t="inlineStr">
        <is>
          <t>aneel; tarifas; distribuição</t>
        </is>
      </c>
    </row>
    <row r="7" ht="55.2" customHeight="1" s="30">
      <c r="A7" s="2" t="n">
        <v>3</v>
      </c>
      <c r="B7" s="2" t="n">
        <v>1</v>
      </c>
      <c r="C7" s="2" t="inlineStr">
        <is>
          <t>temas-abertos-participacao-publica</t>
        </is>
      </c>
      <c r="D7" s="2" t="inlineStr">
        <is>
          <t>ONS</t>
        </is>
      </c>
      <c r="E7" s="2" t="inlineStr">
        <is>
          <t>ce</t>
        </is>
      </c>
      <c r="F7" s="2" t="inlineStr">
        <is>
          <t>open</t>
        </is>
      </c>
      <c r="G7" s="2" t="inlineStr">
        <is>
          <t>CE ONS</t>
        </is>
      </c>
      <c r="H7" s="2" t="inlineStr">
        <is>
          <t>Processo Simplificado de Liquidação das receitas e dos encargos pelo uso do sistema de transmissão</t>
        </is>
      </c>
      <c r="I7" s="2" t="inlineStr">
        <is>
          <t>Simplified Settlement Process for transmission system usage revenues and charges</t>
        </is>
      </c>
      <c r="J7" s="3" t="n">
        <v>46194</v>
      </c>
      <c r="K7" s="2" t="inlineStr">
        <is>
          <t>A Consulta Externa tem como objetivo alterar o Submódulo 8.3 dos Procedimentos de Rede para incorporar o Processo Simplificado de Liquidação aprovado pelo Despacho ANEEL nº 2.801/2024.</t>
        </is>
      </c>
      <c r="L7" s="2" t="inlineStr">
        <is>
          <t>The CE aims to amend Grid Procedures Submodule 8.3 to incorporate the Simplified Settlement Process approved by ANEEL Order No. 2801/2024.</t>
        </is>
      </c>
      <c r="M7" s="2" t="n"/>
      <c r="N7" s="2" t="n">
        <v>3</v>
      </c>
      <c r="O7" s="2" t="inlineStr">
        <is>
          <t>TRUE</t>
        </is>
      </c>
      <c r="P7" s="2" t="inlineStr">
        <is>
          <t>ons; transmissão; liquidação</t>
        </is>
      </c>
    </row>
    <row r="8" ht="82.8" customHeight="1" s="30">
      <c r="A8" s="2" t="n">
        <v>4</v>
      </c>
      <c r="B8" s="2" t="n">
        <v>1</v>
      </c>
      <c r="C8" s="2" t="inlineStr">
        <is>
          <t>temas-abertos-participacao-publica</t>
        </is>
      </c>
      <c r="D8" s="2" t="inlineStr">
        <is>
          <t>ANEEL</t>
        </is>
      </c>
      <c r="E8" s="2" t="inlineStr">
        <is>
          <t>cp</t>
        </is>
      </c>
      <c r="F8" s="2" t="inlineStr">
        <is>
          <t>open</t>
        </is>
      </c>
      <c r="G8" s="2" t="inlineStr">
        <is>
          <t>017</t>
        </is>
      </c>
      <c r="H8" s="2" t="inlineStr">
        <is>
          <t>Processo sancionador da Câmara de Comercialização de Energia Elétrica - CCEE</t>
        </is>
      </c>
      <c r="I8" s="2" t="inlineStr">
        <is>
          <t>Sanctioning Process of the CCEE</t>
        </is>
      </c>
      <c r="J8" s="3" t="n">
        <v>46237</v>
      </c>
      <c r="K8" s="2" t="inlineStr">
        <is>
          <t>A proposta permite à CCEE investigar e punir condutas como manipulação de preços, criação artificial de oferta ou demanda, omissão de informações e práticas que coloquem o mercado em risco. As sanções incluem advertência, multas, restrição temporária aos sistemas e desligamento do agente.</t>
        </is>
      </c>
      <c r="L8" s="2" t="inlineStr">
        <is>
          <t>The proposal would allow CCEE to investigate and sanction price manipulation, artificial creation of supply or demand, omission of information and other harmful behaviors. Penalties may include warnings, fines, temporary system restrictions and market expulsion.</t>
        </is>
      </c>
      <c r="M8" s="2" t="n"/>
      <c r="N8" s="2" t="n">
        <v>4</v>
      </c>
      <c r="O8" s="2" t="inlineStr">
        <is>
          <t>TRUE</t>
        </is>
      </c>
      <c r="P8" s="2" t="inlineStr">
        <is>
          <t>aneel; ccee; sancionador; mercado</t>
        </is>
      </c>
    </row>
    <row r="9" ht="69" customHeight="1" s="30">
      <c r="A9" s="2" t="n">
        <v>5</v>
      </c>
      <c r="B9" s="2" t="n">
        <v>2</v>
      </c>
      <c r="C9" s="2" t="inlineStr">
        <is>
          <t>temas-abertos-participacao-publica</t>
        </is>
      </c>
      <c r="D9" s="2" t="inlineStr">
        <is>
          <t>ANEEL</t>
        </is>
      </c>
      <c r="E9" s="2" t="inlineStr">
        <is>
          <t>cp</t>
        </is>
      </c>
      <c r="F9" s="2" t="inlineStr">
        <is>
          <t>open</t>
        </is>
      </c>
      <c r="G9" s="2" t="inlineStr">
        <is>
          <t>016</t>
        </is>
      </c>
      <c r="H9" s="2" t="inlineStr">
        <is>
          <t>Modernização das Tarifas de Distribuição - Ciclo 1 (Custo Comercial)</t>
        </is>
      </c>
      <c r="I9" s="2" t="inlineStr">
        <is>
          <t>Modernization of Distribution Tariffs – Cycle 1</t>
        </is>
      </c>
      <c r="J9" s="3" t="n">
        <v>46242</v>
      </c>
      <c r="K9" s="2" t="inlineStr">
        <is>
          <t>A CP propõe substituir a atual taxa mínima de consumo por uma tarifa fixa mensal para consumidores de baixa tensão, destinada a cobrir custos comerciais das distribuidoras. A proposta prevê implementação a partir de 2029 para Tarifa Branca e SCEE.</t>
        </is>
      </c>
      <c r="L9" s="2" t="inlineStr">
        <is>
          <t>The CP proposes replacing the current minimum consumption charge with a fixed monthly fee for low-voltage consumers, designed to recover distributors’ commercial costs. Implementation is proposed from 2029 for White Tariff and net metering consumers.</t>
        </is>
      </c>
      <c r="M9" s="2" t="n"/>
      <c r="N9" s="2" t="n">
        <v>1</v>
      </c>
      <c r="O9" s="2" t="inlineStr">
        <is>
          <t>TRUE</t>
        </is>
      </c>
      <c r="P9" s="2" t="inlineStr">
        <is>
          <t>aneel; tarifas; distribuição</t>
        </is>
      </c>
    </row>
    <row r="10" ht="82.8" customHeight="1" s="30">
      <c r="A10" s="2" t="n">
        <v>6</v>
      </c>
      <c r="B10" s="2" t="n">
        <v>2</v>
      </c>
      <c r="C10" s="2" t="inlineStr">
        <is>
          <t>temas-abertos-participacao-publica</t>
        </is>
      </c>
      <c r="D10" s="2" t="inlineStr">
        <is>
          <t>ANEEL</t>
        </is>
      </c>
      <c r="E10" s="2" t="inlineStr">
        <is>
          <t>cp</t>
        </is>
      </c>
      <c r="F10" s="2" t="inlineStr">
        <is>
          <t>open</t>
        </is>
      </c>
      <c r="G10" s="2" t="inlineStr">
        <is>
          <t>017</t>
        </is>
      </c>
      <c r="H10" s="2" t="inlineStr">
        <is>
          <t>Processo sancionador da Câmara de Comercialização de Energia Elétrica - CCEE</t>
        </is>
      </c>
      <c r="I10" s="2" t="inlineStr">
        <is>
          <t>Sanctioning Process of the CCEE</t>
        </is>
      </c>
      <c r="J10" s="3" t="n">
        <v>46237</v>
      </c>
      <c r="K10" s="2" t="inlineStr">
        <is>
          <t>A proposta permite à CCEE investigar e punir condutas como manipulação de preços, criação artificial de oferta ou demanda, omissão de informações e práticas que coloquem o mercado em risco. As sanções incluem advertência, multas, restrição temporária aos sistemas e desligamento do agente.</t>
        </is>
      </c>
      <c r="L10" s="2" t="inlineStr">
        <is>
          <t>The proposal would allow CCEE to investigate and sanction price manipulation, artificial creation of supply or demand, omission of information and other harmful behaviors. Penalties may include warnings, fines, temporary system restrictions and market expulsion.</t>
        </is>
      </c>
      <c r="M10" s="2" t="n"/>
      <c r="N10" s="2" t="n">
        <v>2</v>
      </c>
      <c r="O10" s="2" t="inlineStr">
        <is>
          <t>TRUE</t>
        </is>
      </c>
      <c r="P10" s="2" t="inlineStr">
        <is>
          <t>aneel; ccee; sancionador; mercado</t>
        </is>
      </c>
    </row>
    <row r="11" ht="124.2" customHeight="1" s="30">
      <c r="A11" s="2" t="n">
        <v>7</v>
      </c>
      <c r="B11" s="2" t="n">
        <v>3</v>
      </c>
      <c r="C11" s="2" t="inlineStr">
        <is>
          <t>temas-abertos-participacao-publica</t>
        </is>
      </c>
      <c r="D11" s="2" t="inlineStr">
        <is>
          <t>ANEEL</t>
        </is>
      </c>
      <c r="E11" s="2" t="inlineStr">
        <is>
          <t>cp</t>
        </is>
      </c>
      <c r="F11" s="2" t="inlineStr">
        <is>
          <t>open</t>
        </is>
      </c>
      <c r="G11" s="2" t="inlineStr">
        <is>
          <t>016</t>
        </is>
      </c>
      <c r="H11" s="2" t="inlineStr">
        <is>
          <t>Modernização das Tarifas de Distribuição - Ciclo 1 (Custo Comercial)</t>
        </is>
      </c>
      <c r="I11" s="2" t="inlineStr">
        <is>
          <t>Modernization of Distribution Tariffs – Cycle 1</t>
        </is>
      </c>
      <c r="J11" s="3" t="n">
        <v>46242</v>
      </c>
      <c r="K11" s="2" t="inlineStr">
        <is>
          <t xml:space="preserve">A CP propõe substituir a atual taxa mínima de consumo (30, 50 e 100 kWh) por uma tarifa fixa mensal para consumidores de baixa tensão, destinada a cobrir os custos comerciais das distribuidoras (como medição, emissão de faturas e atendimento). A proposta prevê implementação a partir de 2029 para Tarifa Branca e SCEE (net metering system). </t>
        </is>
      </c>
      <c r="L11" s="2" t="inlineStr">
        <is>
          <t>The CP proposes replacing the current minimum consumption charge (30, 50 and 100 kWh) with a fixed monthly fee for low-voltage consumers. The new charge would be designed to recover distributors' commercial costs, including metering, billing and customer service activities. The proposal foresees implementation starting in 2029 for consumers under the Time-of-Use Tariff (White Tariff) and the Net Metering System (SCEE).</t>
        </is>
      </c>
      <c r="M11" s="2" t="n"/>
      <c r="N11" s="2" t="n">
        <v>1</v>
      </c>
      <c r="O11" s="2" t="inlineStr">
        <is>
          <t>TRUE</t>
        </is>
      </c>
      <c r="P11" s="2" t="inlineStr">
        <is>
          <t>aneel; tarifas; distribuição</t>
        </is>
      </c>
    </row>
    <row r="12" ht="124.2" customHeight="1" s="30">
      <c r="A12" s="2" t="n">
        <v>8</v>
      </c>
      <c r="B12" s="2" t="n">
        <v>3</v>
      </c>
      <c r="C12" s="2" t="inlineStr">
        <is>
          <t>temas-abertos-participacao-publica</t>
        </is>
      </c>
      <c r="D12" s="2" t="inlineStr">
        <is>
          <t>ANEEL</t>
        </is>
      </c>
      <c r="E12" s="2" t="inlineStr">
        <is>
          <t>cp</t>
        </is>
      </c>
      <c r="F12" s="2" t="inlineStr">
        <is>
          <t>open</t>
        </is>
      </c>
      <c r="G12" s="2" t="inlineStr">
        <is>
          <t>017</t>
        </is>
      </c>
      <c r="H12" s="2" t="inlineStr">
        <is>
          <t>Processo sancionador da Câmara de Comercialização de Energia Elétrica - CCEE</t>
        </is>
      </c>
      <c r="I12" s="2" t="inlineStr">
        <is>
          <t>Sanctioning Process of the CCEE</t>
        </is>
      </c>
      <c r="J12" s="3" t="n">
        <v>46237</v>
      </c>
      <c r="K12" s="2" t="inlineStr">
        <is>
          <t>A proposta permite à CCEE investigar e punir condutas como manipulação de preços, criação artificial de oferta ou demanda, omissão de informações e práticas que coloquem o mercado em risco. As sanções poderão incluir advertência, multas, restrição temporária aos sistemas da CCEE e desligamento do agente. As multas poderão alcançar o maior valor entre R$ 50 milhões, o dobro da operação irregular ou três vezes a vantagem econômica obtida.</t>
        </is>
      </c>
      <c r="L12" s="2" t="inlineStr">
        <is>
          <t>The proposal would allow the CCEE to investigate and sanction practices such as price manipulation, artificial creation of supply or demand, omission of information and other behaviors deemed harmful to market integrity. Penalties may include warnings, fines, temporary restrictions on access to CCEE systems and market expulsion. Fines could reach the higher of BRL 50 million, twice the value of the irregular transaction or three times the economic benefit obtained.</t>
        </is>
      </c>
      <c r="M12" s="2" t="n"/>
      <c r="N12" s="2" t="n">
        <v>2</v>
      </c>
      <c r="O12" s="2" t="inlineStr">
        <is>
          <t>TRUE</t>
        </is>
      </c>
      <c r="P12" s="2" t="inlineStr">
        <is>
          <t>aneel; ccee; sancionador; mercado</t>
        </is>
      </c>
    </row>
  </sheetData>
  <mergeCells count="2">
    <mergeCell ref="A1:P1"/>
    <mergeCell ref="A2:P2"/>
  </mergeCells>
  <dataValidations count="3">
    <dataValidation sqref="E5:E104" showDropDown="0" showInputMessage="0" showErrorMessage="0" allowBlank="0" type="list">
      <formula1>"cp,ts,ce"</formula1>
    </dataValidation>
    <dataValidation sqref="F5:F104" showDropDown="0" showInputMessage="0" showErrorMessage="0" allowBlank="0" type="list">
      <formula1>"open,closed,extended,suspended"</formula1>
    </dataValidation>
    <dataValidation sqref="O5:O104" showDropDown="0" showInputMessage="0" showErrorMessage="0" allowBlank="0" type="list">
      <formula1>"TRUE,FALSE"</formula1>
    </dataValidation>
  </dataValidation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Q19"/>
  <sheetViews>
    <sheetView topLeftCell="A6" workbookViewId="0">
      <selection activeCell="L23" sqref="L23"/>
    </sheetView>
  </sheetViews>
  <sheetFormatPr baseColWidth="8" defaultColWidth="8.8984375" defaultRowHeight="13.8"/>
  <cols>
    <col width="10" customWidth="1" style="30" min="1" max="2"/>
    <col width="18" customWidth="1" style="30" min="3" max="4"/>
    <col width="36" customWidth="1" style="30" min="5" max="6"/>
    <col width="18" customWidth="1" style="30" min="7" max="9"/>
    <col width="46" customWidth="1" style="30" min="10" max="13"/>
    <col width="26" customWidth="1" style="30" min="14" max="14"/>
    <col width="10" customWidth="1" style="30" min="15" max="16"/>
    <col width="26" customWidth="1" style="30" min="17" max="17"/>
  </cols>
  <sheetData>
    <row r="1" ht="26.1" customHeight="1" s="30">
      <c r="A1" s="31" t="inlineStr">
        <is>
          <t>07_leiloes</t>
        </is>
      </c>
    </row>
    <row r="2" ht="30" customHeight="1" s="30">
      <c r="A2" s="32" t="inlineStr">
        <is>
          <t>Cronograma e comentários de leilões.</t>
        </is>
      </c>
    </row>
    <row r="4" ht="27.9" customHeight="1" s="30">
      <c r="A4" s="12" t="inlineStr">
        <is>
          <t>id</t>
        </is>
      </c>
      <c r="B4" s="12" t="inlineStr">
        <is>
          <t>edicao_id</t>
        </is>
      </c>
      <c r="C4" s="12" t="inlineStr">
        <is>
          <t>secao_slug</t>
        </is>
      </c>
      <c r="D4" s="12" t="inlineStr">
        <is>
          <t>orgao_sigla</t>
        </is>
      </c>
      <c r="E4" s="12" t="inlineStr">
        <is>
          <t>titulo_pt</t>
        </is>
      </c>
      <c r="F4" s="12" t="inlineStr">
        <is>
          <t>titulo_en</t>
        </is>
      </c>
      <c r="G4" s="12" t="inlineStr">
        <is>
          <t>data_estimada_pt</t>
        </is>
      </c>
      <c r="H4" s="12" t="inlineStr">
        <is>
          <t>data_estimada_en</t>
        </is>
      </c>
      <c r="I4" s="12" t="inlineStr">
        <is>
          <t>status_leilao_code</t>
        </is>
      </c>
      <c r="J4" s="12" t="inlineStr">
        <is>
          <t>comentario_pt</t>
        </is>
      </c>
      <c r="K4" s="12" t="inlineStr">
        <is>
          <t>comentario_en</t>
        </is>
      </c>
      <c r="L4" s="12" t="inlineStr">
        <is>
          <t>proximo_passo_pt</t>
        </is>
      </c>
      <c r="M4" s="12" t="inlineStr">
        <is>
          <t>proximo_passo_en</t>
        </is>
      </c>
      <c r="N4" s="12" t="inlineStr">
        <is>
          <t>link_referencia</t>
        </is>
      </c>
      <c r="O4" s="12" t="inlineStr">
        <is>
          <t>ordem</t>
        </is>
      </c>
      <c r="P4" s="12" t="inlineStr">
        <is>
          <t>ativo</t>
        </is>
      </c>
      <c r="Q4" s="12" t="inlineStr">
        <is>
          <t>tags</t>
        </is>
      </c>
    </row>
    <row r="5" ht="27.6" customHeight="1" s="30">
      <c r="A5" s="2" t="n">
        <v>1</v>
      </c>
      <c r="B5" s="2" t="n">
        <v>1</v>
      </c>
      <c r="C5" s="2" t="inlineStr">
        <is>
          <t>cronograma-proximos-leiloes</t>
        </is>
      </c>
      <c r="D5" s="2" t="inlineStr">
        <is>
          <t>ANEEL</t>
        </is>
      </c>
      <c r="E5" s="2" t="inlineStr">
        <is>
          <t>1º Transmissão 2026 – Sessão 2</t>
        </is>
      </c>
      <c r="F5" s="2" t="inlineStr">
        <is>
          <t>1st Transmission Auction 2026 – Session 2</t>
        </is>
      </c>
      <c r="G5" s="2" t="inlineStr">
        <is>
          <t>3 de julho</t>
        </is>
      </c>
      <c r="H5" s="2" t="inlineStr">
        <is>
          <t>July 3rd</t>
        </is>
      </c>
      <c r="I5" s="2" t="inlineStr">
        <is>
          <t>scheduled</t>
        </is>
      </c>
      <c r="J5" s="2" t="inlineStr">
        <is>
          <t>Exclusivo para os lotes 7 a 10 da MEZ.</t>
        </is>
      </c>
      <c r="K5" s="2" t="inlineStr">
        <is>
          <t>Exclusive to MEZ’s Lots (7 through 10).</t>
        </is>
      </c>
      <c r="L5" s="2" t="n"/>
      <c r="M5" s="2" t="n"/>
      <c r="N5" s="2" t="n"/>
      <c r="O5" s="2" t="n">
        <v>1</v>
      </c>
      <c r="P5" s="2" t="inlineStr">
        <is>
          <t>TRUE</t>
        </is>
      </c>
      <c r="Q5" s="2" t="inlineStr">
        <is>
          <t>transmissao; leilao</t>
        </is>
      </c>
    </row>
    <row r="6" ht="41.4" customHeight="1" s="30">
      <c r="A6" s="2" t="n">
        <v>2</v>
      </c>
      <c r="B6" s="2" t="n">
        <v>1</v>
      </c>
      <c r="C6" s="2" t="inlineStr">
        <is>
          <t>cronograma-proximos-leiloes</t>
        </is>
      </c>
      <c r="D6" s="2" t="inlineStr">
        <is>
          <t>ANEEL</t>
        </is>
      </c>
      <c r="E6" s="2" t="inlineStr">
        <is>
          <t>2º Transmissão 2026</t>
        </is>
      </c>
      <c r="F6" s="2" t="inlineStr">
        <is>
          <t>2nd Transmission Auction 2026</t>
        </is>
      </c>
      <c r="G6" s="2" t="inlineStr">
        <is>
          <t>30 de outubro</t>
        </is>
      </c>
      <c r="H6" s="2" t="inlineStr">
        <is>
          <t>October 30th</t>
        </is>
      </c>
      <c r="I6" s="2" t="inlineStr">
        <is>
          <t>under_consultation</t>
        </is>
      </c>
      <c r="J6" s="2" t="inlineStr">
        <is>
          <t>Aguardando resultado da CP ANEEL 006/2026.</t>
        </is>
      </c>
      <c r="K6" s="2" t="inlineStr">
        <is>
          <t>The outcome of ANEEL CP No. 06/2026 is expected to be deliberated during ANEEL’s Board meeting on June 22nd.</t>
        </is>
      </c>
      <c r="L6" s="2" t="inlineStr">
        <is>
          <t>Publicação do edital e seus anexos.</t>
        </is>
      </c>
      <c r="M6" s="2" t="inlineStr">
        <is>
          <t>Publication of the auction notice and attachments.</t>
        </is>
      </c>
      <c r="N6" s="2" t="n"/>
      <c r="O6" s="2" t="n">
        <v>2</v>
      </c>
      <c r="P6" s="2" t="inlineStr">
        <is>
          <t>TRUE</t>
        </is>
      </c>
      <c r="Q6" s="2" t="inlineStr">
        <is>
          <t>transmissao; leilao; aneel</t>
        </is>
      </c>
    </row>
    <row r="7" ht="27.6" customHeight="1" s="30">
      <c r="A7" s="2" t="n">
        <v>3</v>
      </c>
      <c r="B7" s="2" t="n">
        <v>1</v>
      </c>
      <c r="C7" s="2" t="inlineStr">
        <is>
          <t>cronograma-proximos-leiloes</t>
        </is>
      </c>
      <c r="D7" s="2" t="inlineStr">
        <is>
          <t>ANEEL</t>
        </is>
      </c>
      <c r="E7" s="2" t="inlineStr">
        <is>
          <t>1º Leilão de Energia Existente (A-1, A-2 e A-3) 2026</t>
        </is>
      </c>
      <c r="F7" s="2" t="inlineStr">
        <is>
          <t>1º Existing Energy Auction 2026 (A-1, A-2 and A-3)</t>
        </is>
      </c>
      <c r="G7" s="2" t="inlineStr">
        <is>
          <t>13 de novembro</t>
        </is>
      </c>
      <c r="H7" s="2" t="inlineStr">
        <is>
          <t>November 13th</t>
        </is>
      </c>
      <c r="I7" s="2" t="inlineStr">
        <is>
          <t>scheduled</t>
        </is>
      </c>
      <c r="J7" s="2" t="inlineStr">
        <is>
          <t>A PRT nº 135/2026 definiu as diretrizes dos três certames.</t>
        </is>
      </c>
      <c r="K7" s="2" t="inlineStr">
        <is>
          <t>PRT nº 135/2026 sets the guidelines for the three auctions.</t>
        </is>
      </c>
      <c r="L7" s="2" t="n"/>
      <c r="M7" s="2" t="n"/>
      <c r="N7" s="2" t="n"/>
      <c r="O7" s="2" t="n">
        <v>3</v>
      </c>
      <c r="P7" s="2" t="inlineStr">
        <is>
          <t>TRUE</t>
        </is>
      </c>
      <c r="Q7" s="2" t="inlineStr">
        <is>
          <t>energia-existente; leilao; mme</t>
        </is>
      </c>
    </row>
    <row r="8" ht="27.6" customHeight="1" s="30">
      <c r="A8" s="2" t="n">
        <v>4</v>
      </c>
      <c r="B8" s="2" t="n">
        <v>1</v>
      </c>
      <c r="C8" s="2" t="inlineStr">
        <is>
          <t>cronograma-proximos-leiloes</t>
        </is>
      </c>
      <c r="D8" s="2" t="inlineStr">
        <is>
          <t>ANEEL</t>
        </is>
      </c>
      <c r="E8" s="2" t="inlineStr">
        <is>
          <t>LRCAP 2026 - Armazenamento – Conteúdo Nacional</t>
        </is>
      </c>
      <c r="F8" s="2" t="inlineStr">
        <is>
          <t>LRCAP 2026 – BESS (Local Content)</t>
        </is>
      </c>
      <c r="G8" s="2" t="inlineStr">
        <is>
          <t>2 de dezembro</t>
        </is>
      </c>
      <c r="H8" s="2" t="inlineStr">
        <is>
          <t>December 2nd</t>
        </is>
      </c>
      <c r="I8" s="2" t="inlineStr">
        <is>
          <t>scheduled</t>
        </is>
      </c>
      <c r="J8" s="2" t="inlineStr">
        <is>
          <t>Destinado a tecnologia nacional de armazenamento, credenciada pelo BNDES.</t>
        </is>
      </c>
      <c r="K8" s="2" t="inlineStr">
        <is>
          <t>Dedicated to BESS accredited by BNDES under local content requirements.</t>
        </is>
      </c>
      <c r="L8" s="2" t="inlineStr">
        <is>
          <t>Cadastro dos projetos e envio de documentos à EPE até às 12h de 31 de julho de 2026.</t>
        </is>
      </c>
      <c r="M8" s="2" t="inlineStr">
        <is>
          <t>Project registration and submission of documentation to EPE by July 31st.</t>
        </is>
      </c>
      <c r="N8" s="2" t="n"/>
      <c r="O8" s="2" t="n">
        <v>4</v>
      </c>
      <c r="P8" s="2" t="inlineStr">
        <is>
          <t>TRUE</t>
        </is>
      </c>
      <c r="Q8" s="2" t="inlineStr">
        <is>
          <t>lrcap; bess; bndes; epe</t>
        </is>
      </c>
    </row>
    <row r="9" ht="27.6" customHeight="1" s="30">
      <c r="A9" s="2" t="n">
        <v>5</v>
      </c>
      <c r="B9" s="2" t="n">
        <v>1</v>
      </c>
      <c r="C9" s="2" t="inlineStr">
        <is>
          <t>cronograma-proximos-leiloes</t>
        </is>
      </c>
      <c r="D9" s="2" t="inlineStr">
        <is>
          <t>ANEEL</t>
        </is>
      </c>
      <c r="E9" s="2" t="inlineStr">
        <is>
          <t>LRCAP 2026 - Armazenamento – Conteúdo Internacional</t>
        </is>
      </c>
      <c r="F9" s="2" t="inlineStr">
        <is>
          <t>LRCAP 2026 – BESS (International Content)</t>
        </is>
      </c>
      <c r="G9" s="2" t="inlineStr">
        <is>
          <t>4 de dezembro</t>
        </is>
      </c>
      <c r="H9" s="2" t="inlineStr">
        <is>
          <t>December 4th</t>
        </is>
      </c>
      <c r="I9" s="2" t="inlineStr">
        <is>
          <t>scheduled</t>
        </is>
      </c>
      <c r="J9" s="2" t="inlineStr">
        <is>
          <t>Aberto a qualquer tecnologia de armazenamento.</t>
        </is>
      </c>
      <c r="K9" s="2" t="inlineStr">
        <is>
          <t>Dedicated to international BESS technologies.</t>
        </is>
      </c>
      <c r="L9" s="2" t="inlineStr">
        <is>
          <t>Cadastro dos projetos e envio de documentos à EPE até às 12h de 31 de julho de 2026.</t>
        </is>
      </c>
      <c r="M9" s="2" t="inlineStr">
        <is>
          <t>Project registration and submission of documentation to EPE by July 31st.</t>
        </is>
      </c>
      <c r="N9" s="2" t="n"/>
      <c r="O9" s="2" t="n">
        <v>5</v>
      </c>
      <c r="P9" s="2" t="inlineStr">
        <is>
          <t>TRUE</t>
        </is>
      </c>
      <c r="Q9" s="2" t="inlineStr">
        <is>
          <t>lrcap; bess; epe</t>
        </is>
      </c>
    </row>
    <row r="10" ht="27.6" customHeight="1" s="30">
      <c r="A10" s="2" t="n">
        <v>6</v>
      </c>
      <c r="B10" s="2" t="n">
        <v>2</v>
      </c>
      <c r="C10" s="2" t="inlineStr">
        <is>
          <t>cronograma-proximos-leiloes</t>
        </is>
      </c>
      <c r="D10" s="2" t="inlineStr">
        <is>
          <t>ANEEL</t>
        </is>
      </c>
      <c r="E10" s="2" t="inlineStr">
        <is>
          <t>1º Transmissão 2026 – Sessão 2</t>
        </is>
      </c>
      <c r="F10" s="2" t="inlineStr">
        <is>
          <t>1st Transmission Auction 2026 – Session 2</t>
        </is>
      </c>
      <c r="G10" s="2" t="inlineStr">
        <is>
          <t>3 de julho</t>
        </is>
      </c>
      <c r="H10" s="2" t="inlineStr">
        <is>
          <t>July 3rd</t>
        </is>
      </c>
      <c r="I10" s="2" t="inlineStr">
        <is>
          <t>scheduled</t>
        </is>
      </c>
      <c r="J10" s="2" t="inlineStr">
        <is>
          <t>Exclusivo para os lotes 7 a 10 da MEZ.</t>
        </is>
      </c>
      <c r="K10" s="2" t="inlineStr">
        <is>
          <t>Exclusive to MEZ’s Lots (7 through 10).</t>
        </is>
      </c>
      <c r="L10" s="2" t="n"/>
      <c r="M10" s="2" t="n"/>
      <c r="N10" s="2" t="n"/>
      <c r="O10" s="2" t="n">
        <v>1</v>
      </c>
      <c r="P10" s="2" t="inlineStr">
        <is>
          <t>TRUE</t>
        </is>
      </c>
      <c r="Q10" s="2" t="inlineStr">
        <is>
          <t>transmissao; leilao</t>
        </is>
      </c>
    </row>
    <row r="11" ht="27.6" customHeight="1" s="30">
      <c r="A11" s="2" t="n">
        <v>7</v>
      </c>
      <c r="B11" s="2" t="n">
        <v>2</v>
      </c>
      <c r="C11" s="2" t="inlineStr">
        <is>
          <t>cronograma-proximos-leiloes</t>
        </is>
      </c>
      <c r="D11" s="2" t="inlineStr">
        <is>
          <t>ANEEL</t>
        </is>
      </c>
      <c r="E11" s="2" t="inlineStr">
        <is>
          <t>2º Transmissão 2026</t>
        </is>
      </c>
      <c r="F11" s="2" t="inlineStr">
        <is>
          <t>2nd Transmission Auction 2026</t>
        </is>
      </c>
      <c r="G11" s="2" t="inlineStr">
        <is>
          <t>30 de outubro</t>
        </is>
      </c>
      <c r="H11" s="2" t="inlineStr">
        <is>
          <t>October 30th</t>
        </is>
      </c>
      <c r="I11" s="2" t="inlineStr">
        <is>
          <t>scheduled</t>
        </is>
      </c>
      <c r="J11" s="2" t="inlineStr">
        <is>
          <t>Edital do certame aprovado pela ANEEL.</t>
        </is>
      </c>
      <c r="K11" s="2" t="inlineStr">
        <is>
          <t>Auction notice was approved by ANEEL.</t>
        </is>
      </c>
      <c r="L11" s="2" t="inlineStr">
        <is>
          <t>Aguardar aprovação do edital pelo Tribunal de Contas da União (TCU).</t>
        </is>
      </c>
      <c r="M11" s="2" t="inlineStr">
        <is>
          <t>Federal Court of Accounts (TCU) to approve the auction notice.</t>
        </is>
      </c>
      <c r="N11" s="2" t="n"/>
      <c r="O11" s="2" t="n">
        <v>2</v>
      </c>
      <c r="P11" s="2" t="inlineStr">
        <is>
          <t>TRUE</t>
        </is>
      </c>
      <c r="Q11" s="2" t="inlineStr">
        <is>
          <t>transmissao; leilao; tcu</t>
        </is>
      </c>
    </row>
    <row r="12" ht="27.6" customHeight="1" s="30">
      <c r="A12" s="2" t="n">
        <v>8</v>
      </c>
      <c r="B12" s="2" t="n">
        <v>2</v>
      </c>
      <c r="C12" s="2" t="inlineStr">
        <is>
          <t>cronograma-proximos-leiloes</t>
        </is>
      </c>
      <c r="D12" s="2" t="inlineStr">
        <is>
          <t>ANEEL</t>
        </is>
      </c>
      <c r="E12" s="2" t="inlineStr">
        <is>
          <t>1º Leilão de Energia Existente (A-1, A-2 e A-3) 2026</t>
        </is>
      </c>
      <c r="F12" s="2" t="inlineStr">
        <is>
          <t>1º Existing Energy Auction 2026 (A-1, A-2 and A-3)</t>
        </is>
      </c>
      <c r="G12" s="2" t="inlineStr">
        <is>
          <t>13 de novembro</t>
        </is>
      </c>
      <c r="H12" s="2" t="inlineStr">
        <is>
          <t>November 13th</t>
        </is>
      </c>
      <c r="I12" s="2" t="inlineStr">
        <is>
          <t>scheduled</t>
        </is>
      </c>
      <c r="J12" s="2" t="inlineStr">
        <is>
          <t>A PRT nº 135/2026 definiu as diretrizes dos três certames.</t>
        </is>
      </c>
      <c r="K12" s="2" t="inlineStr">
        <is>
          <t>PRT nº 135/2026 sets the guidelines for the three auctions.</t>
        </is>
      </c>
      <c r="L12" s="2" t="n"/>
      <c r="M12" s="2" t="n"/>
      <c r="N12" s="2" t="n"/>
      <c r="O12" s="2" t="n">
        <v>3</v>
      </c>
      <c r="P12" s="2" t="inlineStr">
        <is>
          <t>TRUE</t>
        </is>
      </c>
      <c r="Q12" s="2" t="inlineStr">
        <is>
          <t>energia-existente; leilao; mme</t>
        </is>
      </c>
    </row>
    <row r="13" ht="27.6" customHeight="1" s="30">
      <c r="A13" s="2" t="n">
        <v>9</v>
      </c>
      <c r="B13" s="2" t="n">
        <v>2</v>
      </c>
      <c r="C13" s="2" t="inlineStr">
        <is>
          <t>cronograma-proximos-leiloes</t>
        </is>
      </c>
      <c r="D13" s="2" t="inlineStr">
        <is>
          <t>ANEEL</t>
        </is>
      </c>
      <c r="E13" s="2" t="inlineStr">
        <is>
          <t>LRCAP 2026 - Armazenamento – Conteúdo Nacional</t>
        </is>
      </c>
      <c r="F13" s="2" t="inlineStr">
        <is>
          <t>LRCAP 2026 – BESS (Local Content)</t>
        </is>
      </c>
      <c r="G13" s="2" t="inlineStr">
        <is>
          <t>2 de dezembro</t>
        </is>
      </c>
      <c r="H13" s="2" t="inlineStr">
        <is>
          <t>December 2nd</t>
        </is>
      </c>
      <c r="I13" s="2" t="inlineStr">
        <is>
          <t>scheduled</t>
        </is>
      </c>
      <c r="J13" s="2" t="inlineStr">
        <is>
          <t>Destinado a tecnologia nacional de armazenamento, credenciada pelo BNDES.</t>
        </is>
      </c>
      <c r="K13" s="2" t="inlineStr">
        <is>
          <t>Dedicated to BESS accredited by BNDES under local content requirements.</t>
        </is>
      </c>
      <c r="L13" s="2" t="inlineStr">
        <is>
          <t>Cadastro dos projetos e envio de documentos à EPE até às 12h de 31 de julho de 2026.</t>
        </is>
      </c>
      <c r="M13" s="2" t="inlineStr">
        <is>
          <t>Project registration and submission of documentation to EPE by July 31st.</t>
        </is>
      </c>
      <c r="N13" s="2" t="n"/>
      <c r="O13" s="2" t="n">
        <v>4</v>
      </c>
      <c r="P13" s="2" t="inlineStr">
        <is>
          <t>TRUE</t>
        </is>
      </c>
      <c r="Q13" s="2" t="inlineStr">
        <is>
          <t>lrcap; bess; bndes; epe</t>
        </is>
      </c>
    </row>
    <row r="14" ht="27.6" customHeight="1" s="30">
      <c r="A14" s="2" t="n">
        <v>10</v>
      </c>
      <c r="B14" s="2" t="n">
        <v>2</v>
      </c>
      <c r="C14" s="2" t="inlineStr">
        <is>
          <t>cronograma-proximos-leiloes</t>
        </is>
      </c>
      <c r="D14" s="2" t="inlineStr">
        <is>
          <t>ANEEL</t>
        </is>
      </c>
      <c r="E14" s="2" t="inlineStr">
        <is>
          <t>LRCAP 2026 - Armazenamento – Conteúdo Internacional</t>
        </is>
      </c>
      <c r="F14" s="2" t="inlineStr">
        <is>
          <t>LRCAP 2026 – BESS (International Content)</t>
        </is>
      </c>
      <c r="G14" s="2" t="inlineStr">
        <is>
          <t>4 de dezembro</t>
        </is>
      </c>
      <c r="H14" s="2" t="inlineStr">
        <is>
          <t>December 4th</t>
        </is>
      </c>
      <c r="I14" s="2" t="inlineStr">
        <is>
          <t>scheduled</t>
        </is>
      </c>
      <c r="J14" s="2" t="inlineStr">
        <is>
          <t>Aberto a qualquer tecnologia de armazenamento.</t>
        </is>
      </c>
      <c r="K14" s="2" t="inlineStr">
        <is>
          <t>Dedicated to international BESS technologies.</t>
        </is>
      </c>
      <c r="L14" s="2" t="inlineStr">
        <is>
          <t>Cadastro dos projetos e envio de documentos à EPE até às 12h de 31 de julho de 2026.</t>
        </is>
      </c>
      <c r="M14" s="2" t="inlineStr">
        <is>
          <t>Project registration and submission of documentation to EPE by July 31st.</t>
        </is>
      </c>
      <c r="N14" s="2" t="n"/>
      <c r="O14" s="2" t="n">
        <v>5</v>
      </c>
      <c r="P14" s="2" t="inlineStr">
        <is>
          <t>TRUE</t>
        </is>
      </c>
      <c r="Q14" s="2" t="inlineStr">
        <is>
          <t>lrcap; bess; epe</t>
        </is>
      </c>
    </row>
    <row r="15" ht="41.4" customHeight="1" s="30">
      <c r="A15" s="2" t="n">
        <v>11</v>
      </c>
      <c r="B15" s="2" t="n">
        <v>3</v>
      </c>
      <c r="C15" s="2" t="inlineStr">
        <is>
          <t>cronograma-proximos-leiloes</t>
        </is>
      </c>
      <c r="D15" s="2" t="inlineStr">
        <is>
          <t>ANEEL</t>
        </is>
      </c>
      <c r="E15" s="2" t="inlineStr">
        <is>
          <t>1º Transmissão 2026 – Sessão 2</t>
        </is>
      </c>
      <c r="F15" s="2" t="inlineStr">
        <is>
          <t>1st Transmission Auction 2026 – Session 2</t>
        </is>
      </c>
      <c r="G15" s="2" t="inlineStr">
        <is>
          <t>3 de julho</t>
        </is>
      </c>
      <c r="H15" s="2" t="inlineStr">
        <is>
          <t>July 3rd</t>
        </is>
      </c>
      <c r="I15" s="2" t="inlineStr">
        <is>
          <t>completed</t>
        </is>
      </c>
      <c r="J15" s="2" t="inlineStr">
        <is>
          <t xml:space="preserve">Exclusivo para os lotes 7 a 10 da MEZ. </t>
        </is>
      </c>
      <c r="K15" s="2" t="inlineStr">
        <is>
          <t>The 2nd session of the 1st 2026 Transmission Auction, covering only MEZ's Lots 7 through 10, was held on July 3rd.</t>
        </is>
      </c>
      <c r="L15" s="2" t="n"/>
      <c r="M15" s="2" t="n"/>
      <c r="N15" s="2" t="n"/>
      <c r="O15" s="2" t="n">
        <v>1</v>
      </c>
      <c r="P15" s="2" t="inlineStr">
        <is>
          <t>TRUE</t>
        </is>
      </c>
      <c r="Q15" s="2" t="inlineStr">
        <is>
          <t>transmissao; leilao</t>
        </is>
      </c>
    </row>
    <row r="16" ht="27.6" customHeight="1" s="30">
      <c r="A16" s="2" t="n">
        <v>12</v>
      </c>
      <c r="B16" s="2" t="n">
        <v>3</v>
      </c>
      <c r="C16" s="2" t="inlineStr">
        <is>
          <t>cronograma-proximos-leiloes</t>
        </is>
      </c>
      <c r="D16" s="2" t="inlineStr">
        <is>
          <t>ANEEL</t>
        </is>
      </c>
      <c r="E16" s="2" t="inlineStr">
        <is>
          <t>2º Transmissão 2026</t>
        </is>
      </c>
      <c r="F16" s="2" t="inlineStr">
        <is>
          <t>2nd Transmission Auction 2026</t>
        </is>
      </c>
      <c r="G16" s="2" t="inlineStr">
        <is>
          <t>30 de outubro</t>
        </is>
      </c>
      <c r="H16" s="2" t="inlineStr">
        <is>
          <t>October 30th</t>
        </is>
      </c>
      <c r="I16" s="2" t="inlineStr">
        <is>
          <t>scheduled</t>
        </is>
      </c>
      <c r="J16" s="2" t="inlineStr">
        <is>
          <t>Edital do certame aprovado pela ANEEL.</t>
        </is>
      </c>
      <c r="K16" s="2" t="inlineStr">
        <is>
          <t>Auction notice was approved by ANEEL.</t>
        </is>
      </c>
      <c r="L16" s="2" t="inlineStr">
        <is>
          <t>Aguardar aprovação do edital pelo Tribunal de Contas da União (TCU).</t>
        </is>
      </c>
      <c r="M16" s="2" t="inlineStr">
        <is>
          <t>Federal Court of Accounts (TCU) to approve the auction notice.</t>
        </is>
      </c>
      <c r="N16" s="2" t="n"/>
      <c r="O16" s="2" t="n">
        <v>2</v>
      </c>
      <c r="P16" s="2" t="inlineStr">
        <is>
          <t>TRUE</t>
        </is>
      </c>
      <c r="Q16" s="2" t="inlineStr">
        <is>
          <t>transmissao; leilao; tcu</t>
        </is>
      </c>
    </row>
    <row r="17" ht="27.6" customHeight="1" s="30">
      <c r="A17" s="2" t="n">
        <v>13</v>
      </c>
      <c r="B17" s="2" t="n">
        <v>3</v>
      </c>
      <c r="C17" s="2" t="inlineStr">
        <is>
          <t>cronograma-proximos-leiloes</t>
        </is>
      </c>
      <c r="D17" s="2" t="inlineStr">
        <is>
          <t>ANEEL</t>
        </is>
      </c>
      <c r="E17" s="2" t="inlineStr">
        <is>
          <t>1º Leilão de Energia Existente (A-1, A-2 e A-3) 2026</t>
        </is>
      </c>
      <c r="F17" s="2" t="inlineStr">
        <is>
          <t>1º Existing Energy Auction 2026 (A-1, A-2 and A-3)</t>
        </is>
      </c>
      <c r="G17" s="2" t="inlineStr">
        <is>
          <t>13 de novembro</t>
        </is>
      </c>
      <c r="H17" s="2" t="inlineStr">
        <is>
          <t>November 13th</t>
        </is>
      </c>
      <c r="I17" s="2" t="inlineStr">
        <is>
          <t>scheduled</t>
        </is>
      </c>
      <c r="J17" s="2" t="inlineStr">
        <is>
          <t>A PRT nº 135/2026 definiu as diretrizes dos três certames.</t>
        </is>
      </c>
      <c r="K17" s="2" t="inlineStr">
        <is>
          <t>PRT nº 135/2026 sets the guidelines for the three auctions.</t>
        </is>
      </c>
      <c r="L17" s="2" t="inlineStr">
        <is>
          <t>Será aberta Consulta Pública da ANEEL para o Edital e seus anexos (minuta de contrato).</t>
        </is>
      </c>
      <c r="M17" s="2" t="inlineStr">
        <is>
          <t>ANEEL is expected to launch a CP on the Auction Notice and its annexes, including the draft contract.</t>
        </is>
      </c>
      <c r="N17" s="2" t="n"/>
      <c r="O17" s="2" t="n">
        <v>3</v>
      </c>
      <c r="P17" s="2" t="inlineStr">
        <is>
          <t>TRUE</t>
        </is>
      </c>
      <c r="Q17" s="2" t="inlineStr">
        <is>
          <t>energia-existente; leilao; mme</t>
        </is>
      </c>
    </row>
    <row r="18" ht="27.6" customHeight="1" s="30">
      <c r="A18" s="2" t="n">
        <v>14</v>
      </c>
      <c r="B18" s="2" t="n">
        <v>3</v>
      </c>
      <c r="C18" s="2" t="inlineStr">
        <is>
          <t>cronograma-proximos-leiloes</t>
        </is>
      </c>
      <c r="D18" s="2" t="inlineStr">
        <is>
          <t>ANEEL</t>
        </is>
      </c>
      <c r="E18" s="2" t="inlineStr">
        <is>
          <t>LRCAP 2026 - Armazenamento – Conteúdo Nacional</t>
        </is>
      </c>
      <c r="F18" s="2" t="inlineStr">
        <is>
          <t>LRCAP 2026 – BESS (Local Content)</t>
        </is>
      </c>
      <c r="G18" s="2" t="inlineStr">
        <is>
          <t>2 de dezembro</t>
        </is>
      </c>
      <c r="H18" s="2" t="inlineStr">
        <is>
          <t>December 2nd</t>
        </is>
      </c>
      <c r="I18" s="2" t="inlineStr">
        <is>
          <t>scheduled</t>
        </is>
      </c>
      <c r="J18" s="2" t="inlineStr">
        <is>
          <t>Destinado a tecnologia nacional de armazenamento, credenciada pelo BNDES.</t>
        </is>
      </c>
      <c r="K18" s="2" t="inlineStr">
        <is>
          <t>Dedicated to BESS accredited by BNDES under local content requirements.</t>
        </is>
      </c>
      <c r="L18" s="2" t="inlineStr">
        <is>
          <t>Cadastro dos projetos e envio de documentos à EPE até às 12h de 31 de julho de 2026.</t>
        </is>
      </c>
      <c r="M18" s="2" t="inlineStr">
        <is>
          <t>Project registration and submission of documentation to EPE by July 31st.</t>
        </is>
      </c>
      <c r="N18" s="2" t="n"/>
      <c r="O18" s="2" t="n">
        <v>4</v>
      </c>
      <c r="P18" s="2" t="inlineStr">
        <is>
          <t>TRUE</t>
        </is>
      </c>
      <c r="Q18" s="2" t="inlineStr">
        <is>
          <t>lrcap; bess; bndes; epe</t>
        </is>
      </c>
    </row>
    <row r="19" ht="27.6" customHeight="1" s="30">
      <c r="A19" s="2" t="n">
        <v>15</v>
      </c>
      <c r="B19" s="2" t="n">
        <v>3</v>
      </c>
      <c r="C19" s="2" t="inlineStr">
        <is>
          <t>cronograma-proximos-leiloes</t>
        </is>
      </c>
      <c r="D19" s="2" t="inlineStr">
        <is>
          <t>ANEEL</t>
        </is>
      </c>
      <c r="E19" s="2" t="inlineStr">
        <is>
          <t>LRCAP 2026 - Armazenamento – Conteúdo Internacional</t>
        </is>
      </c>
      <c r="F19" s="2" t="inlineStr">
        <is>
          <t>LRCAP 2026 – BESS (International Content)</t>
        </is>
      </c>
      <c r="G19" s="2" t="inlineStr">
        <is>
          <t>4 de dezembro</t>
        </is>
      </c>
      <c r="H19" s="2" t="inlineStr">
        <is>
          <t>December 4th</t>
        </is>
      </c>
      <c r="I19" s="2" t="inlineStr">
        <is>
          <t>scheduled</t>
        </is>
      </c>
      <c r="J19" s="2" t="inlineStr">
        <is>
          <t>Aberto a qualquer tecnologia de armazenamento.</t>
        </is>
      </c>
      <c r="K19" s="2" t="inlineStr">
        <is>
          <t>Dedicated to international BESS technologies.</t>
        </is>
      </c>
      <c r="L19" s="2" t="inlineStr">
        <is>
          <t>Cadastro dos projetos e envio de documentos à EPE até às 12h de 31 de julho de 2026.</t>
        </is>
      </c>
      <c r="M19" s="2" t="inlineStr">
        <is>
          <t>Project registration and submission of documentation to EPE by July 31st.</t>
        </is>
      </c>
      <c r="N19" s="2" t="n"/>
      <c r="O19" s="2" t="n">
        <v>5</v>
      </c>
      <c r="P19" s="2" t="inlineStr">
        <is>
          <t>TRUE</t>
        </is>
      </c>
      <c r="Q19" s="2" t="inlineStr">
        <is>
          <t>lrcap; bess; epe</t>
        </is>
      </c>
    </row>
  </sheetData>
  <mergeCells count="2">
    <mergeCell ref="A2:Q2"/>
    <mergeCell ref="A1:Q1"/>
  </mergeCells>
  <dataValidations count="2">
    <dataValidation sqref="I5:I104" showDropDown="0" showInputMessage="0" showErrorMessage="0" allowBlank="0" type="list">
      <formula1>"scheduled,expected,under_consultation,pending_definition,completed,cancelled"</formula1>
    </dataValidation>
    <dataValidation sqref="P5:P104" showDropDown="0" showInputMessage="0" showErrorMessage="0" allowBlank="0" type="list">
      <formula1>"TRUE,FALSE"</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H7"/>
  <sheetViews>
    <sheetView topLeftCell="A6" workbookViewId="0">
      <selection activeCell="J7" sqref="J7"/>
    </sheetView>
  </sheetViews>
  <sheetFormatPr baseColWidth="8" defaultColWidth="8.8984375" defaultRowHeight="13.8"/>
  <cols>
    <col width="10" customWidth="1" style="30" min="1" max="2"/>
    <col width="18" customWidth="1" style="30" min="3" max="4"/>
    <col width="10" customWidth="1" style="30" min="5" max="5"/>
    <col width="46" customWidth="1" style="30" min="6" max="6"/>
  </cols>
  <sheetData>
    <row r="1" ht="26.1" customHeight="1" s="30">
      <c r="A1" s="31" t="inlineStr">
        <is>
          <t>07_leiloes_comentarios</t>
        </is>
      </c>
    </row>
    <row r="2" ht="30" customHeight="1" s="30">
      <c r="A2" s="32" t="inlineStr">
        <is>
          <t>Comentários gerais da seção Cronograma dos Próximos Leilões por edição.</t>
        </is>
      </c>
    </row>
    <row r="4" ht="27.9" customHeight="1" s="30">
      <c r="A4" s="12" t="inlineStr">
        <is>
          <t>id</t>
        </is>
      </c>
      <c r="B4" s="12" t="inlineStr">
        <is>
          <t>edicao_id</t>
        </is>
      </c>
      <c r="C4" s="12" t="inlineStr">
        <is>
          <t>comentario_geral_pt</t>
        </is>
      </c>
      <c r="D4" s="12" t="inlineStr">
        <is>
          <t>comentario_geral_en</t>
        </is>
      </c>
      <c r="E4" s="12" t="inlineStr">
        <is>
          <t>ativo</t>
        </is>
      </c>
      <c r="F4" s="12" t="inlineStr">
        <is>
          <t>observacoes</t>
        </is>
      </c>
    </row>
    <row r="5" ht="409.6" customHeight="1" s="30">
      <c r="A5" s="2" t="n">
        <v>1</v>
      </c>
      <c r="B5" s="2" t="n">
        <v>1</v>
      </c>
      <c r="C5" s="2" t="inlineStr">
        <is>
          <t>O primeiro LRCAP voltado a baterias foi dividido em dois certames, com mesmas condições contratuais e requisitos técnicos. Os contratos terão 15 anos, suprimento a partir de 1º de agosto de 2028, potência mínima em torno de 30 MW, quatro horas de duração, recarga em até 6 horas, eficiência mínima de 85% e bônus locacional de 10%. O MME definiu as diretrizes dos Leilões de Energia Existente A-1, A-2 e A-3 de 2026. O cronograma de transmissão 2026-2027 prevê dois leilões por ano e o 2º Leilão de Transmissão de 2026 deve envolver cerca de R$ 11,3 bilhões e 2.069 km de linhas.</t>
        </is>
      </c>
      <c r="D5" s="2" t="inlineStr">
        <is>
          <t>Brazil’s first Capacity Reserve Auction dedicated to BESS will be split into two auctions, both with the same contractual conditions and technical requirements. Contracts will have a 15-year term, supply starting on August 1st, 2028, minimum capacity of 30 MW, at least four hours of duration, full recharge within six hours, minimum efficiency of 85%, and a 10% locational bonus. The 2nd Transmission Auction of 2026 is expected to involve approximately BRL 11.3 billion and around 2,069 km of new transmission lines.</t>
        </is>
      </c>
      <c r="E5" s="2" t="inlineStr">
        <is>
          <t>TRUE</t>
        </is>
      </c>
      <c r="F5" s="2" t="inlineStr">
        <is>
          <t>Comentários gerais da seção de leilões da edição 19/06/2026</t>
        </is>
      </c>
    </row>
    <row r="6" ht="409.6" customHeight="1" s="30">
      <c r="A6" s="2" t="n">
        <v>2</v>
      </c>
      <c r="B6" s="2" t="n">
        <v>2</v>
      </c>
      <c r="C6" s="2" t="inlineStr">
        <is>
          <t>O primeiro LRCAP voltado a baterias foi dividido em dois certames, com mesmas condições contratuais e requisitos técnicos. Os contratos terão 15 anos, suprimento a partir de 1º de agosto de 2028, potência mínima em torno de 30 MW, quatro horas de duração, recarga em até 6 horas, eficiência mínima de 85% e bônus locacional de 10%. O 2º Leilão de Transmissão de 2026 deve contar com investimentos estimados em cerca de R$ 8,9 bilhões, 9 lotes em sete estados e 1.866 km de novas linhas.</t>
        </is>
      </c>
      <c r="D6" s="2" t="inlineStr">
        <is>
          <t>Brazil’s first Capacity Reserve Auction dedicated to BESS will be split into two auctions, both with the same contractual conditions and technical requirements. Contracts will have a 15-year term, supply starting on August 1st, 2028, minimum capacity of 30 MW, at least four hours of duration, full recharge within six hours, minimum efficiency of 85%, and a 10% locational bonus. The 2nd Transmission Auction of 2026 is expected to involve around BRL 11.3 billion, nine lots across seven Brazilian states, and approximately 1,866 km of new transmission lines.</t>
        </is>
      </c>
      <c r="E6" s="2" t="inlineStr">
        <is>
          <t>TRUE</t>
        </is>
      </c>
      <c r="F6" s="2" t="inlineStr">
        <is>
          <t>Comentários gerais da seção de leilões da edição 26/06/2026</t>
        </is>
      </c>
    </row>
    <row r="7" ht="409.6" customHeight="1" s="30">
      <c r="A7" s="2" t="n">
        <v>3</v>
      </c>
      <c r="B7" s="2" t="n">
        <v>3</v>
      </c>
      <c r="C7" s="2" t="inlineStr">
        <is>
          <t>O primeiro Leilão de Reserva de Capacidade (LRCAP) voltado ao armazenamento em baterias no Brasil foi dividido em dois certames, ambos com as mesmas condições contratuais e requisitos técnicos. O 1º LRCAP será destinado a projetos com tecnologia nacional; já o segundo, em 4 de dezembro, será aberto aos demais projetos de baterias. Os contratos terão duração de 15 anos, com início de suprimento previsto para 1º de agosto de 2028. As exigências técnicas incluem potência mínima em torno de 30 MW, operação contínua mínima de quatro horas, recarga completa em até 6 horas, eficiência mínima de 85%. O certame também prevê bônus locacional, com desconto de 10% no preço de lance para projetos conectados a barramentos estratégicos, especialmente no Nordeste e em Minas Gerais. O MME definiu as diretrizes para os Leilões de Energia Existente A-1, A-2 e A-3 de 2026, com suprimento a partir de 2027, 2028 e 2029. Os contratos destes Leilão não prevêm sem atualização dos preços ao longo da vigência. O cronograma dos Leilões de Transmissão em 2026 e 2027, definido pela Portaria MME nº 114/2025, prevê dois leilões por ano. A segunda sessão do 1º Leilão de 2026, relacionada aos ativos MEZ, aconteceu em 3 de julho, com o lote 7 sendo arrematado pelo Consórcio Olympus XX (Alupar) e os lotes 8, 9 e 10 pela Axia Enegia (antiga Eletrobras). O segundo Leilão de Transmissão de 2026, previsto para ocorrer em outubro, deve contar investimentos estimados em cerca de R$ 8,9 bilhões. O certame reúne 9 lotes distribuídos por sete estados: Bahia, Goiás, Mato Grosso do Sul, Paraíba, Paraná, Rondônia e São Paulo. Estão previstas 1.866 km de novas linhas de transmissão.</t>
        </is>
      </c>
      <c r="D7" s="2" t="inlineStr">
        <is>
          <t>Brazil's first Capacity Reserve Auction (LRCAP) dedicated to BESS will be split into two auctions, both with the same contractual conditions and technical requirements. The first auction will be reserved for projects meeting local content requirements, while the second, scheduled for December 4th, will be open to all other BESS projects. Contracts will have a 15-year term, with supply starting on August 1st, 2028. Key requirements include a minimum capacity of 30 MW, at least 4 hours of storage duration, full recharge within 6 hours and minimum efficiency of 85%. The auction also establishes a locational bonus, granting a 10% discount on bid prices for BESS connected to strategic grid nodes, particularly in the Northeast region and the state of Minas Gerais. The MME established the guidelines for the 2026 A-1, A-2 and A-3 Existing Energy Auctions, with supply starting in 2027, 2028 and 2029 respectively, and contracts without price indexation throughout their term. The second session of the 1st 2026 Transmission Auction was completed, with Lot 7 awarded to the Olympus XX Consortium (Alupar) and Lots 8-10 to Axia Energia (formerly Eletrobras). The 2nd Transmission Auction of 2026, scheduled for October, is expected to involve approximately BRL 11.3 billion, comprising nine lots across seven Brazilian states (Bahia, Goiás, Mato Grosso do Sul, Paraíba, Paraná, Rondônia and São Paulo) and approximately 1,866 km of new transmission lines.</t>
        </is>
      </c>
      <c r="E7" s="2" t="inlineStr">
        <is>
          <t>TRUE</t>
        </is>
      </c>
      <c r="F7" s="2" t="inlineStr">
        <is>
          <t>Comentários gerais da seção de leilões da edição 03/07/2026</t>
        </is>
      </c>
    </row>
  </sheetData>
  <mergeCells count="2">
    <mergeCell ref="A2:H2"/>
    <mergeCell ref="A1:H1"/>
  </mergeCells>
  <dataValidations count="1">
    <dataValidation sqref="E5:E104" showDropDown="0" showInputMessage="0" showErrorMessage="0" allowBlank="0" type="list">
      <formula1>"TRUE,FALSE"</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T33"/>
  <sheetViews>
    <sheetView tabSelected="1" topLeftCell="N2" workbookViewId="0">
      <selection activeCell="T21" sqref="T21"/>
    </sheetView>
  </sheetViews>
  <sheetFormatPr baseColWidth="8" defaultColWidth="8.8984375" defaultRowHeight="13.8"/>
  <cols>
    <col width="8" customWidth="1" style="30" min="1" max="1"/>
    <col width="10" customWidth="1" style="30" min="2" max="2"/>
    <col width="22" customWidth="1" style="30" min="3" max="3"/>
    <col width="12" customWidth="1" style="30" min="4" max="4"/>
    <col width="18" customWidth="1" style="30" min="5" max="6"/>
    <col width="12" customWidth="1" style="30" min="7" max="7"/>
    <col width="18" customWidth="1" style="30" min="8" max="9"/>
    <col width="20.09765625" customWidth="1" style="30" min="10" max="10"/>
    <col width="14" customWidth="1" style="30" min="11" max="12"/>
    <col width="31.3984375" customWidth="1" style="30" min="13" max="13"/>
    <col width="30.09765625" customWidth="1" style="30" min="14" max="14"/>
    <col width="38" customWidth="1" style="30" min="15" max="15"/>
    <col width="32" customWidth="1" style="30" min="16" max="17"/>
    <col width="11.8984375" customWidth="1" style="30" min="18" max="18"/>
    <col width="10" customWidth="1" style="30" min="19" max="20"/>
  </cols>
  <sheetData>
    <row r="1" ht="26.1" customHeight="1" s="30">
      <c r="A1" s="31" t="inlineStr">
        <is>
          <t>08_agenda</t>
        </is>
      </c>
      <c r="L1" s="31" t="n"/>
      <c r="M1" s="31" t="n"/>
      <c r="N1" s="31" t="n"/>
      <c r="O1" s="31" t="n"/>
      <c r="P1" s="31" t="n"/>
      <c r="Q1" s="31" t="n"/>
      <c r="R1" s="31" t="n"/>
      <c r="S1" s="31" t="n"/>
      <c r="T1" s="31" t="n"/>
    </row>
    <row r="2" ht="42" customHeight="1" s="30">
      <c r="A2" s="29" t="inlineStr">
        <is>
          <t>Eventos institucionais e regulatórios relevantes. Use tipo_agenda_code = specific_date para eventos com data definida; recurring para eventos recorrentes sem data específica; calendar_specific para eventos que seguem calendário próprio.</t>
        </is>
      </c>
      <c r="L2" s="11" t="n"/>
      <c r="M2" s="11" t="n"/>
      <c r="N2" s="11" t="n"/>
      <c r="O2" s="11" t="n"/>
      <c r="P2" s="11" t="n"/>
      <c r="Q2" s="11" t="n"/>
      <c r="R2" s="11" t="n"/>
      <c r="S2" s="11" t="n"/>
      <c r="T2" s="11" t="n"/>
    </row>
    <row r="3" ht="32.1" customHeight="1" s="30">
      <c r="A3" s="12" t="inlineStr">
        <is>
          <t>id</t>
        </is>
      </c>
      <c r="B3" s="12" t="inlineStr">
        <is>
          <t>edicao_id</t>
        </is>
      </c>
      <c r="C3" s="12" t="inlineStr">
        <is>
          <t>secao_slug</t>
        </is>
      </c>
      <c r="D3" s="12" t="inlineStr">
        <is>
          <t>orgao_sigla</t>
        </is>
      </c>
      <c r="E3" s="12" t="inlineStr">
        <is>
          <t>tipo_evento_code</t>
        </is>
      </c>
      <c r="F3" s="12" t="inlineStr">
        <is>
          <t>tipo_agenda_code</t>
        </is>
      </c>
      <c r="G3" s="12" t="inlineStr">
        <is>
          <t>recorrente</t>
        </is>
      </c>
      <c r="H3" s="12" t="inlineStr">
        <is>
          <t>frequencia_code</t>
        </is>
      </c>
      <c r="I3" s="12" t="inlineStr">
        <is>
          <t>dia_semana_code</t>
        </is>
      </c>
      <c r="J3" s="12" t="inlineStr">
        <is>
          <t>ordem_dia_semana</t>
        </is>
      </c>
      <c r="K3" s="12" t="inlineStr">
        <is>
          <t>data_inicio</t>
        </is>
      </c>
      <c r="L3" s="12" t="inlineStr">
        <is>
          <t>data_fim</t>
        </is>
      </c>
      <c r="M3" s="12" t="inlineStr">
        <is>
          <t>datas_exibicao</t>
        </is>
      </c>
      <c r="N3" s="12" t="inlineStr">
        <is>
          <t>titulo_pt</t>
        </is>
      </c>
      <c r="O3" s="12" t="inlineStr">
        <is>
          <t>titulo_en</t>
        </is>
      </c>
      <c r="P3" s="12" t="inlineStr">
        <is>
          <t>descricao_pt</t>
        </is>
      </c>
      <c r="Q3" s="12" t="inlineStr">
        <is>
          <t>descricao_en</t>
        </is>
      </c>
      <c r="R3" s="12" t="inlineStr">
        <is>
          <t>link_referencia</t>
        </is>
      </c>
      <c r="S3" s="12" t="inlineStr">
        <is>
          <t>ordem</t>
        </is>
      </c>
      <c r="T3" s="12" t="inlineStr">
        <is>
          <t>ativo</t>
        </is>
      </c>
    </row>
    <row r="4">
      <c r="A4" s="2" t="n">
        <v>1</v>
      </c>
      <c r="B4" s="2" t="n">
        <v>1</v>
      </c>
      <c r="C4" s="2" t="inlineStr">
        <is>
          <t>agenda-institucional</t>
        </is>
      </c>
      <c r="D4" s="2" t="inlineStr">
        <is>
          <t>ANEEL</t>
        </is>
      </c>
      <c r="E4" s="3" t="inlineStr">
        <is>
          <t>meeting</t>
        </is>
      </c>
      <c r="F4" s="2" t="inlineStr">
        <is>
          <t>recurring</t>
        </is>
      </c>
      <c r="G4" s="2" t="inlineStr">
        <is>
          <t>true</t>
        </is>
      </c>
      <c r="H4" s="2" t="inlineStr">
        <is>
          <t>biweekly</t>
        </is>
      </c>
      <c r="I4" s="2" t="inlineStr">
        <is>
          <t>tuesday</t>
        </is>
      </c>
      <c r="J4" s="2" t="inlineStr">
        <is>
          <t>Alternate</t>
        </is>
      </c>
      <c r="K4" s="3" t="n">
        <v>46175</v>
      </c>
      <c r="L4" s="14" t="n">
        <v>46203</v>
      </c>
      <c r="M4" s="14" t="inlineStr">
        <is>
          <t>2026-06-02;2026-06-16;2026-06-30</t>
        </is>
      </c>
      <c r="N4" s="14" t="inlineStr">
        <is>
          <t xml:space="preserve">Reunião da Diretoria da ANEEL </t>
        </is>
      </c>
      <c r="O4" s="14" t="inlineStr">
        <is>
          <t>ANEEL’s  Board Meeting</t>
        </is>
      </c>
      <c r="P4" s="14" t="n"/>
      <c r="Q4" s="14" t="n"/>
      <c r="R4" s="14" t="n"/>
      <c r="S4" s="15" t="n">
        <v>1</v>
      </c>
      <c r="T4" s="16" t="inlineStr">
        <is>
          <t>true</t>
        </is>
      </c>
    </row>
    <row r="5" ht="27.6" customFormat="1" customHeight="1" s="17">
      <c r="A5" s="2" t="n">
        <v>2</v>
      </c>
      <c r="B5" s="2" t="n">
        <v>1</v>
      </c>
      <c r="C5" s="2" t="inlineStr">
        <is>
          <t>agenda-institucional</t>
        </is>
      </c>
      <c r="D5" s="2" t="inlineStr">
        <is>
          <t>ANEEL</t>
        </is>
      </c>
      <c r="E5" s="3" t="inlineStr">
        <is>
          <t>meeting</t>
        </is>
      </c>
      <c r="F5" s="2" t="inlineStr">
        <is>
          <t>recurring</t>
        </is>
      </c>
      <c r="G5" s="2" t="inlineStr">
        <is>
          <t>true</t>
        </is>
      </c>
      <c r="H5" s="2" t="inlineStr">
        <is>
          <t>biweekly</t>
        </is>
      </c>
      <c r="I5" s="2" t="inlineStr">
        <is>
          <t>tuesday</t>
        </is>
      </c>
      <c r="J5" s="2" t="inlineStr">
        <is>
          <t>Alternate</t>
        </is>
      </c>
      <c r="K5" s="3" t="n">
        <v>46182</v>
      </c>
      <c r="L5" s="18" t="n">
        <v>46196</v>
      </c>
      <c r="M5" s="27" t="inlineStr">
        <is>
          <t>2026-06-09;2026-06-23</t>
        </is>
      </c>
      <c r="N5" s="2" t="inlineStr">
        <is>
          <t>Circuito Deliberativo da Diretoria da ANEEL</t>
        </is>
      </c>
      <c r="O5" s="2" t="inlineStr">
        <is>
          <t xml:space="preserve">ANEEL’s  Electronic Voting Session </t>
        </is>
      </c>
      <c r="P5" s="2" t="n"/>
      <c r="Q5" s="2" t="n"/>
      <c r="R5" s="2" t="n"/>
      <c r="S5" s="2" t="n">
        <v>2</v>
      </c>
      <c r="T5" s="2" t="inlineStr">
        <is>
          <t>true</t>
        </is>
      </c>
    </row>
    <row r="6">
      <c r="A6" s="2" t="n">
        <v>3</v>
      </c>
      <c r="B6" s="2" t="n">
        <v>1</v>
      </c>
      <c r="C6" s="2" t="inlineStr">
        <is>
          <t>agenda-institucional</t>
        </is>
      </c>
      <c r="D6" s="2" t="inlineStr">
        <is>
          <t>ONS</t>
        </is>
      </c>
      <c r="E6" s="3" t="inlineStr">
        <is>
          <t>publication</t>
        </is>
      </c>
      <c r="F6" s="2" t="inlineStr">
        <is>
          <t>recurring</t>
        </is>
      </c>
      <c r="G6" s="2" t="inlineStr">
        <is>
          <t>true</t>
        </is>
      </c>
      <c r="H6" s="2" t="inlineStr">
        <is>
          <t>weekly</t>
        </is>
      </c>
      <c r="I6" s="2" t="inlineStr">
        <is>
          <t>friday</t>
        </is>
      </c>
      <c r="J6" s="2" t="inlineStr">
        <is>
          <t>All</t>
        </is>
      </c>
      <c r="K6" s="3" t="n">
        <v>46174</v>
      </c>
      <c r="L6" s="14" t="n">
        <v>46203</v>
      </c>
      <c r="M6" s="14" t="n"/>
      <c r="N6" s="14" t="inlineStr">
        <is>
          <t>PMO semanal (ONS)</t>
        </is>
      </c>
      <c r="O6" s="14" t="inlineStr">
        <is>
          <t>ONS Weekly Operational Review (PMO)</t>
        </is>
      </c>
      <c r="P6" s="14" t="inlineStr">
        <is>
          <t>Todas as sextas-feiras do mês</t>
        </is>
      </c>
      <c r="Q6" s="14" t="inlineStr">
        <is>
          <t>Every Friday of the month</t>
        </is>
      </c>
      <c r="R6" s="14" t="n"/>
      <c r="S6" s="15" t="n">
        <v>3</v>
      </c>
      <c r="T6" s="16" t="inlineStr">
        <is>
          <t>true</t>
        </is>
      </c>
    </row>
    <row r="7" ht="27.6" customFormat="1" customHeight="1" s="17">
      <c r="A7" s="2" t="n">
        <v>4</v>
      </c>
      <c r="B7" s="2" t="n">
        <v>1</v>
      </c>
      <c r="C7" s="2" t="inlineStr">
        <is>
          <t>agenda-institucional</t>
        </is>
      </c>
      <c r="D7" s="2" t="inlineStr">
        <is>
          <t>CCEE</t>
        </is>
      </c>
      <c r="E7" s="3" t="inlineStr">
        <is>
          <t>meeting</t>
        </is>
      </c>
      <c r="F7" s="2" t="inlineStr">
        <is>
          <t>recurring</t>
        </is>
      </c>
      <c r="G7" s="2" t="inlineStr">
        <is>
          <t>false</t>
        </is>
      </c>
      <c r="H7" s="2" t="inlineStr">
        <is>
          <t>weekly</t>
        </is>
      </c>
      <c r="I7" s="2" t="inlineStr">
        <is>
          <t>monday</t>
        </is>
      </c>
      <c r="J7" s="2" t="n"/>
      <c r="K7" s="3" t="n">
        <v>46174</v>
      </c>
      <c r="L7" s="18" t="n">
        <v>46174</v>
      </c>
      <c r="M7" s="27" t="n"/>
      <c r="N7" s="2" t="inlineStr">
        <is>
          <t>Encontro do PLD (CCEE)</t>
        </is>
      </c>
      <c r="O7" s="2" t="inlineStr">
        <is>
          <t>CCEE PLD Meeting</t>
        </is>
      </c>
      <c r="P7" s="2" t="inlineStr">
        <is>
          <t>Conforme calendário específico do órgão</t>
        </is>
      </c>
      <c r="Q7" s="2" t="inlineStr">
        <is>
          <t>According to the specific calendar of the agency</t>
        </is>
      </c>
      <c r="R7" s="2" t="n"/>
      <c r="S7" s="2" t="n">
        <v>4</v>
      </c>
      <c r="T7" s="2" t="inlineStr">
        <is>
          <t>true</t>
        </is>
      </c>
    </row>
    <row r="8" ht="27.6" customFormat="1" customHeight="1" s="17">
      <c r="A8" s="2" t="n">
        <v>4</v>
      </c>
      <c r="B8" s="2" t="n">
        <v>1</v>
      </c>
      <c r="C8" s="2" t="inlineStr">
        <is>
          <t>agenda-institucional</t>
        </is>
      </c>
      <c r="D8" s="2" t="inlineStr">
        <is>
          <t>CCEE</t>
        </is>
      </c>
      <c r="E8" s="3" t="inlineStr">
        <is>
          <t>meeting</t>
        </is>
      </c>
      <c r="F8" s="2" t="inlineStr">
        <is>
          <t>recurring</t>
        </is>
      </c>
      <c r="G8" s="2" t="inlineStr">
        <is>
          <t>false</t>
        </is>
      </c>
      <c r="H8" s="2" t="inlineStr">
        <is>
          <t>weekly</t>
        </is>
      </c>
      <c r="I8" s="2" t="inlineStr">
        <is>
          <t>monday</t>
        </is>
      </c>
      <c r="J8" s="2" t="n"/>
      <c r="K8" s="3" t="n">
        <v>46190</v>
      </c>
      <c r="L8" s="18" t="n">
        <v>46190</v>
      </c>
      <c r="M8" s="27" t="n"/>
      <c r="N8" s="2" t="inlineStr">
        <is>
          <t>Encontro do PLD (CCEE)</t>
        </is>
      </c>
      <c r="O8" s="2" t="inlineStr">
        <is>
          <t>CCEE PLD Meeting</t>
        </is>
      </c>
      <c r="P8" s="2" t="inlineStr">
        <is>
          <t>Conforme calendário específico do órgão</t>
        </is>
      </c>
      <c r="Q8" s="2" t="inlineStr">
        <is>
          <t>According to the specific calendar of the agency</t>
        </is>
      </c>
      <c r="R8" s="2" t="n"/>
      <c r="S8" s="2" t="n">
        <v>4</v>
      </c>
      <c r="T8" s="2" t="inlineStr">
        <is>
          <t>true</t>
        </is>
      </c>
    </row>
    <row r="9" ht="27.6" customFormat="1" customHeight="1" s="17">
      <c r="A9" s="2" t="n">
        <v>5</v>
      </c>
      <c r="B9" s="2" t="n">
        <v>1</v>
      </c>
      <c r="C9" s="2" t="inlineStr">
        <is>
          <t>agenda-institucional</t>
        </is>
      </c>
      <c r="D9" s="2" t="inlineStr">
        <is>
          <t>CMSE</t>
        </is>
      </c>
      <c r="E9" s="3" t="inlineStr">
        <is>
          <t>meeting</t>
        </is>
      </c>
      <c r="F9" s="2" t="inlineStr">
        <is>
          <t>calendar_specific</t>
        </is>
      </c>
      <c r="G9" s="2" t="inlineStr">
        <is>
          <t>false</t>
        </is>
      </c>
      <c r="H9" s="2" t="inlineStr">
        <is>
          <t>specific_calendar</t>
        </is>
      </c>
      <c r="I9" s="2" t="inlineStr">
        <is>
          <t>wednesday</t>
        </is>
      </c>
      <c r="J9" s="2" t="n"/>
      <c r="K9" s="3" t="n">
        <v>46183</v>
      </c>
      <c r="L9" s="19" t="n">
        <v>46183</v>
      </c>
      <c r="M9" s="19" t="n"/>
      <c r="N9" s="19" t="inlineStr">
        <is>
          <t>Reunião Ordinária do CMSE</t>
        </is>
      </c>
      <c r="O9" s="19" t="inlineStr">
        <is>
          <t>CMSE Board Meeting</t>
        </is>
      </c>
      <c r="P9" s="19" t="inlineStr">
        <is>
          <t>Conforme calendário específico do órgão</t>
        </is>
      </c>
      <c r="Q9" s="2" t="inlineStr">
        <is>
          <t>According to the specific calendar of the agency</t>
        </is>
      </c>
      <c r="R9" s="19" t="n"/>
      <c r="S9" s="20" t="n">
        <v>5</v>
      </c>
      <c r="T9" s="21" t="inlineStr">
        <is>
          <t>true</t>
        </is>
      </c>
    </row>
    <row r="10" ht="27.6" customFormat="1" customHeight="1" s="17">
      <c r="A10" s="2" t="n">
        <v>6</v>
      </c>
      <c r="B10" s="2" t="n">
        <v>1</v>
      </c>
      <c r="C10" s="2" t="inlineStr">
        <is>
          <t>agenda-institucional</t>
        </is>
      </c>
      <c r="D10" s="2" t="inlineStr">
        <is>
          <t>CCEE</t>
        </is>
      </c>
      <c r="E10" s="3" t="inlineStr">
        <is>
          <t>publication</t>
        </is>
      </c>
      <c r="F10" s="2" t="inlineStr">
        <is>
          <t>specific_date</t>
        </is>
      </c>
      <c r="G10" s="2" t="inlineStr">
        <is>
          <t>true</t>
        </is>
      </c>
      <c r="H10" s="2" t="inlineStr">
        <is>
          <t>weekly</t>
        </is>
      </c>
      <c r="I10" s="2" t="inlineStr">
        <is>
          <t>tuesday</t>
        </is>
      </c>
      <c r="J10" s="2" t="inlineStr">
        <is>
          <t>All</t>
        </is>
      </c>
      <c r="K10" s="3" t="n">
        <v>46174</v>
      </c>
      <c r="L10" s="3" t="n">
        <v>46203</v>
      </c>
      <c r="M10" s="3" t="n"/>
      <c r="N10" s="2" t="inlineStr">
        <is>
          <t>Reunião do Conselho de Administração da CCEE</t>
        </is>
      </c>
      <c r="O10" s="2" t="inlineStr">
        <is>
          <t>CCEE Board of Directors Meeting</t>
        </is>
      </c>
      <c r="P10" s="2" t="inlineStr">
        <is>
          <t>Todas as terças-feiras do mês</t>
        </is>
      </c>
      <c r="Q10" s="14" t="inlineStr">
        <is>
          <t>Every Tuesday of the month</t>
        </is>
      </c>
      <c r="R10" s="2" t="n"/>
      <c r="S10" s="2" t="n">
        <v>6</v>
      </c>
      <c r="T10" s="2" t="inlineStr">
        <is>
          <t>true</t>
        </is>
      </c>
    </row>
    <row r="11" ht="27.6" customFormat="1" customHeight="1" s="17">
      <c r="A11" s="2" t="n">
        <v>7</v>
      </c>
      <c r="B11" s="2" t="n">
        <v>1</v>
      </c>
      <c r="C11" s="2" t="inlineStr">
        <is>
          <t>agenda-institucional</t>
        </is>
      </c>
      <c r="D11" s="2" t="inlineStr">
        <is>
          <t>CNPE</t>
        </is>
      </c>
      <c r="E11" s="3" t="inlineStr">
        <is>
          <t>meeting</t>
        </is>
      </c>
      <c r="F11" s="2" t="inlineStr">
        <is>
          <t>calendar_specific</t>
        </is>
      </c>
      <c r="G11" s="2" t="inlineStr">
        <is>
          <t>false</t>
        </is>
      </c>
      <c r="H11" s="2" t="inlineStr">
        <is>
          <t>specific_calendar</t>
        </is>
      </c>
      <c r="I11" s="2" t="inlineStr">
        <is>
          <t>thursday</t>
        </is>
      </c>
      <c r="J11" s="2" t="n"/>
      <c r="K11" s="3" t="n">
        <v>46184</v>
      </c>
      <c r="L11" s="19" t="n">
        <v>46184</v>
      </c>
      <c r="M11" s="19" t="n"/>
      <c r="N11" s="19" t="inlineStr">
        <is>
          <t>Reunião do CNPE</t>
        </is>
      </c>
      <c r="O11" s="19" t="inlineStr">
        <is>
          <t>CNPE Board Meeting</t>
        </is>
      </c>
      <c r="P11" s="19" t="inlineStr">
        <is>
          <t>Conforme calendário específico do órgão</t>
        </is>
      </c>
      <c r="Q11" s="2" t="inlineStr">
        <is>
          <t>According to the specific calendar of the agency</t>
        </is>
      </c>
      <c r="R11" s="19" t="n"/>
      <c r="S11" s="20" t="n">
        <v>7</v>
      </c>
      <c r="T11" s="21" t="inlineStr">
        <is>
          <t>true</t>
        </is>
      </c>
    </row>
    <row r="12">
      <c r="A12" s="2" t="n">
        <v>8</v>
      </c>
      <c r="B12" s="2" t="n">
        <v>3</v>
      </c>
      <c r="C12" s="2" t="inlineStr">
        <is>
          <t>agenda-institucional</t>
        </is>
      </c>
      <c r="D12" s="2" t="inlineStr">
        <is>
          <t>ANEEL</t>
        </is>
      </c>
      <c r="E12" s="3" t="inlineStr">
        <is>
          <t>meeting</t>
        </is>
      </c>
      <c r="F12" s="2" t="inlineStr">
        <is>
          <t>recurring</t>
        </is>
      </c>
      <c r="G12" s="2" t="inlineStr">
        <is>
          <t>true</t>
        </is>
      </c>
      <c r="H12" s="2" t="inlineStr">
        <is>
          <t>biweekly</t>
        </is>
      </c>
      <c r="I12" s="2" t="inlineStr">
        <is>
          <t>tuesday</t>
        </is>
      </c>
      <c r="J12" s="2" t="inlineStr">
        <is>
          <t>Alternate</t>
        </is>
      </c>
      <c r="K12" s="3" t="n">
        <v>46217</v>
      </c>
      <c r="L12" s="19" t="n">
        <v>46231</v>
      </c>
      <c r="M12" s="19" t="inlineStr">
        <is>
          <t>2026-07-14;2026-07-28</t>
        </is>
      </c>
      <c r="N12" s="19" t="inlineStr">
        <is>
          <t>Reunião da Diretoria da ANEEL</t>
        </is>
      </c>
      <c r="O12" s="19" t="inlineStr">
        <is>
          <t>ANEEL's Board Meeting</t>
        </is>
      </c>
      <c r="P12" s="14" t="n"/>
      <c r="Q12" s="14" t="n"/>
      <c r="R12" s="19" t="n"/>
      <c r="S12" s="20" t="n">
        <v>1</v>
      </c>
      <c r="T12" s="21" t="inlineStr">
        <is>
          <t>true</t>
        </is>
      </c>
    </row>
    <row r="13" ht="27.6" customHeight="1" s="30">
      <c r="A13" s="2" t="n">
        <v>9</v>
      </c>
      <c r="B13" s="2" t="n">
        <v>3</v>
      </c>
      <c r="C13" s="2" t="inlineStr">
        <is>
          <t>agenda-institucional</t>
        </is>
      </c>
      <c r="D13" s="2" t="inlineStr">
        <is>
          <t>ANEEL</t>
        </is>
      </c>
      <c r="E13" s="3" t="inlineStr">
        <is>
          <t>meeting</t>
        </is>
      </c>
      <c r="F13" s="2" t="inlineStr">
        <is>
          <t>recurring</t>
        </is>
      </c>
      <c r="G13" s="2" t="inlineStr">
        <is>
          <t>true</t>
        </is>
      </c>
      <c r="H13" s="2" t="inlineStr">
        <is>
          <t>biweekly</t>
        </is>
      </c>
      <c r="I13" s="2" t="inlineStr">
        <is>
          <t>tuesday</t>
        </is>
      </c>
      <c r="J13" s="2" t="inlineStr">
        <is>
          <t>Alternate</t>
        </is>
      </c>
      <c r="K13" s="3" t="n">
        <v>46210</v>
      </c>
      <c r="L13" s="19" t="n">
        <v>46224</v>
      </c>
      <c r="M13" s="19" t="inlineStr">
        <is>
          <t>2026-07-07;2026-07-21</t>
        </is>
      </c>
      <c r="N13" s="19" t="inlineStr">
        <is>
          <t>Circuito Deliberativo da Diretoria da ANEEL</t>
        </is>
      </c>
      <c r="O13" s="19" t="inlineStr">
        <is>
          <t>ANEEL's Electronic Voting Session</t>
        </is>
      </c>
      <c r="P13" s="19" t="n"/>
      <c r="Q13" s="2" t="n"/>
      <c r="R13" s="19" t="n"/>
      <c r="S13" s="20" t="n">
        <v>2</v>
      </c>
      <c r="T13" s="21" t="inlineStr">
        <is>
          <t>true</t>
        </is>
      </c>
    </row>
    <row r="14">
      <c r="A14" s="2" t="n">
        <v>10</v>
      </c>
      <c r="B14" s="2" t="n">
        <v>3</v>
      </c>
      <c r="C14" s="2" t="inlineStr">
        <is>
          <t>agenda-institucional</t>
        </is>
      </c>
      <c r="D14" s="2" t="inlineStr">
        <is>
          <t>ONS</t>
        </is>
      </c>
      <c r="E14" s="3" t="inlineStr">
        <is>
          <t>publication</t>
        </is>
      </c>
      <c r="F14" s="2" t="inlineStr">
        <is>
          <t>recurring</t>
        </is>
      </c>
      <c r="G14" s="2" t="inlineStr">
        <is>
          <t>true</t>
        </is>
      </c>
      <c r="H14" s="2" t="inlineStr">
        <is>
          <t>weekly</t>
        </is>
      </c>
      <c r="I14" s="2" t="inlineStr">
        <is>
          <t>friday</t>
        </is>
      </c>
      <c r="J14" s="2" t="inlineStr">
        <is>
          <t>All</t>
        </is>
      </c>
      <c r="K14" s="3" t="n">
        <v>46204</v>
      </c>
      <c r="L14" s="19" t="n">
        <v>46234</v>
      </c>
      <c r="M14" s="19" t="n"/>
      <c r="N14" s="19" t="inlineStr">
        <is>
          <t>PMO semanal (ONS)</t>
        </is>
      </c>
      <c r="O14" s="19" t="inlineStr">
        <is>
          <t>ONS Weekly Operational Review (PMO)</t>
        </is>
      </c>
      <c r="P14" s="14" t="inlineStr">
        <is>
          <t>Todas as sextas-feiras do mês</t>
        </is>
      </c>
      <c r="Q14" s="2" t="inlineStr">
        <is>
          <t>Every Friday of the month</t>
        </is>
      </c>
      <c r="R14" s="19" t="n"/>
      <c r="S14" s="20" t="n">
        <v>3</v>
      </c>
      <c r="T14" s="21" t="inlineStr">
        <is>
          <t>true</t>
        </is>
      </c>
    </row>
    <row r="15" ht="27.6" customHeight="1" s="30">
      <c r="A15" s="2" t="n">
        <v>11</v>
      </c>
      <c r="B15" s="2" t="n">
        <v>3</v>
      </c>
      <c r="C15" s="2" t="inlineStr">
        <is>
          <t>agenda-institucional</t>
        </is>
      </c>
      <c r="D15" s="2" t="inlineStr">
        <is>
          <t>CCEE</t>
        </is>
      </c>
      <c r="E15" s="3" t="inlineStr">
        <is>
          <t>meeting</t>
        </is>
      </c>
      <c r="F15" s="2" t="inlineStr">
        <is>
          <t>calendar_specific</t>
        </is>
      </c>
      <c r="G15" s="2" t="inlineStr">
        <is>
          <t>false</t>
        </is>
      </c>
      <c r="H15" s="2" t="inlineStr">
        <is>
          <t>weekly</t>
        </is>
      </c>
      <c r="I15" s="2" t="inlineStr">
        <is>
          <t>monday</t>
        </is>
      </c>
      <c r="J15" s="2" t="n"/>
      <c r="K15" s="3" t="n">
        <v>46204</v>
      </c>
      <c r="L15" s="19" t="n">
        <v>46234</v>
      </c>
      <c r="M15" s="19" t="n"/>
      <c r="N15" s="19" t="inlineStr">
        <is>
          <t>Encontro do PLD (CCEE)</t>
        </is>
      </c>
      <c r="O15" s="19" t="inlineStr">
        <is>
          <t>CCEE PLD Meeting</t>
        </is>
      </c>
      <c r="P15" s="19" t="inlineStr">
        <is>
          <t>Conforme calendário específico do órgão</t>
        </is>
      </c>
      <c r="Q15" s="2" t="inlineStr">
        <is>
          <t>According to the specific calendar of the agency</t>
        </is>
      </c>
      <c r="R15" s="19" t="n"/>
      <c r="S15" s="20" t="n">
        <v>4</v>
      </c>
      <c r="T15" s="21" t="inlineStr">
        <is>
          <t>true</t>
        </is>
      </c>
    </row>
    <row r="16" ht="27.6" customHeight="1" s="30">
      <c r="A16" s="2" t="n">
        <v>12</v>
      </c>
      <c r="B16" s="2" t="n">
        <v>3</v>
      </c>
      <c r="C16" s="2" t="inlineStr">
        <is>
          <t>agenda-institucional</t>
        </is>
      </c>
      <c r="D16" s="2" t="inlineStr">
        <is>
          <t>CCEE</t>
        </is>
      </c>
      <c r="E16" s="3" t="inlineStr">
        <is>
          <t>publication</t>
        </is>
      </c>
      <c r="F16" s="2" t="inlineStr">
        <is>
          <t>specific_date</t>
        </is>
      </c>
      <c r="G16" s="2" t="inlineStr">
        <is>
          <t>true</t>
        </is>
      </c>
      <c r="H16" s="2" t="inlineStr">
        <is>
          <t>weekly</t>
        </is>
      </c>
      <c r="I16" s="2" t="inlineStr">
        <is>
          <t>tuesday</t>
        </is>
      </c>
      <c r="J16" s="2" t="inlineStr">
        <is>
          <t>All</t>
        </is>
      </c>
      <c r="K16" s="3" t="n">
        <v>46204</v>
      </c>
      <c r="L16" s="19" t="n">
        <v>46234</v>
      </c>
      <c r="M16" s="19" t="n"/>
      <c r="N16" s="19" t="inlineStr">
        <is>
          <t>Reunião do Conselho de Administração da CCEE</t>
        </is>
      </c>
      <c r="O16" s="19" t="inlineStr">
        <is>
          <t>CCEE Board of Directors Meeting</t>
        </is>
      </c>
      <c r="P16" s="14" t="inlineStr">
        <is>
          <t>Todas as terças-feiras do mês</t>
        </is>
      </c>
      <c r="Q16" s="14" t="inlineStr">
        <is>
          <t>Every Tuesday of the month</t>
        </is>
      </c>
      <c r="R16" s="19" t="n"/>
      <c r="S16" s="20" t="n">
        <v>5</v>
      </c>
      <c r="T16" s="21" t="inlineStr">
        <is>
          <t>true</t>
        </is>
      </c>
    </row>
    <row r="17" ht="27.6" customHeight="1" s="30">
      <c r="A17" s="2" t="n">
        <v>13</v>
      </c>
      <c r="B17" s="2" t="n">
        <v>3</v>
      </c>
      <c r="C17" s="2" t="inlineStr">
        <is>
          <t>agenda-institucional</t>
        </is>
      </c>
      <c r="D17" s="2" t="inlineStr">
        <is>
          <t>CMSE</t>
        </is>
      </c>
      <c r="E17" s="3" t="inlineStr">
        <is>
          <t>meeting</t>
        </is>
      </c>
      <c r="F17" s="2" t="inlineStr">
        <is>
          <t>calendar_specific</t>
        </is>
      </c>
      <c r="G17" s="2" t="inlineStr">
        <is>
          <t>false</t>
        </is>
      </c>
      <c r="H17" s="2" t="inlineStr">
        <is>
          <t>specific_calendar</t>
        </is>
      </c>
      <c r="I17" s="2" t="inlineStr">
        <is>
          <t>wednesday</t>
        </is>
      </c>
      <c r="J17" s="2" t="n"/>
      <c r="K17" s="3" t="n"/>
      <c r="L17" s="19" t="n"/>
      <c r="M17" s="19" t="n"/>
      <c r="N17" s="19" t="inlineStr">
        <is>
          <t>Reunião Ordinária do CMSE</t>
        </is>
      </c>
      <c r="O17" s="19" t="inlineStr">
        <is>
          <t>CMSE Meeting</t>
        </is>
      </c>
      <c r="P17" s="19" t="inlineStr">
        <is>
          <t>Conforme calendário específico do órgão</t>
        </is>
      </c>
      <c r="Q17" s="2" t="inlineStr">
        <is>
          <t>According to the specific calendar of the agency</t>
        </is>
      </c>
      <c r="R17" s="19" t="n"/>
      <c r="S17" s="20" t="n">
        <v>6</v>
      </c>
      <c r="T17" s="21" t="inlineStr">
        <is>
          <t>true</t>
        </is>
      </c>
    </row>
    <row r="18">
      <c r="K18" s="13" t="n"/>
      <c r="L18" s="13" t="n"/>
      <c r="M18" s="13" t="n"/>
    </row>
    <row r="19">
      <c r="K19" s="13" t="n"/>
      <c r="L19" s="13" t="n"/>
      <c r="M19" s="13" t="n"/>
    </row>
    <row r="20">
      <c r="K20" s="13" t="n"/>
      <c r="L20" s="13" t="n"/>
      <c r="M20" s="13" t="n"/>
    </row>
    <row r="21">
      <c r="K21" s="13" t="n"/>
      <c r="L21" s="13" t="n"/>
      <c r="M21" s="13" t="n"/>
    </row>
    <row r="22">
      <c r="K22" s="13" t="n"/>
      <c r="L22" s="13" t="n"/>
      <c r="M22" s="13" t="n"/>
    </row>
    <row r="23">
      <c r="K23" s="13" t="n"/>
      <c r="L23" s="13" t="n"/>
      <c r="M23" s="13" t="n"/>
    </row>
    <row r="24">
      <c r="K24" s="13" t="n"/>
      <c r="L24" s="13" t="n"/>
      <c r="M24" s="13" t="n"/>
    </row>
    <row r="25">
      <c r="K25" s="13" t="n"/>
      <c r="L25" s="13" t="n"/>
      <c r="M25" s="13" t="n"/>
    </row>
    <row r="26">
      <c r="K26" s="13" t="n"/>
      <c r="L26" s="13" t="n"/>
      <c r="M26" s="13" t="n"/>
    </row>
    <row r="27">
      <c r="K27" s="13" t="n"/>
      <c r="L27" s="13" t="n"/>
      <c r="M27" s="13" t="n"/>
    </row>
    <row r="28">
      <c r="K28" s="13" t="n"/>
      <c r="L28" s="13" t="n"/>
      <c r="M28" s="13" t="n"/>
    </row>
    <row r="29">
      <c r="K29" s="13" t="n"/>
      <c r="L29" s="13" t="n"/>
      <c r="M29" s="13" t="n"/>
    </row>
    <row r="30">
      <c r="K30" s="13" t="n"/>
      <c r="L30" s="13" t="n"/>
      <c r="M30" s="13" t="n"/>
    </row>
    <row r="31">
      <c r="K31" s="13" t="n"/>
      <c r="L31" s="13" t="n"/>
      <c r="M31" s="13" t="n"/>
    </row>
    <row r="32">
      <c r="K32" s="13" t="n"/>
      <c r="L32" s="13" t="n"/>
      <c r="M32" s="13" t="n"/>
    </row>
    <row r="33">
      <c r="K33" s="13" t="n"/>
      <c r="L33" s="13" t="n"/>
      <c r="M33" s="13" t="n"/>
    </row>
  </sheetData>
  <mergeCells count="2">
    <mergeCell ref="A2:K2"/>
    <mergeCell ref="A1:K1"/>
  </mergeCells>
  <dataValidations count="9">
    <dataValidation sqref="J4:J11" showDropDown="0" showInputMessage="0" showErrorMessage="0" allowBlank="0" type="list">
      <formula1>"All,First,Second,Third,Fourth,Last,Alternate"</formula1>
    </dataValidation>
    <dataValidation sqref="J4:J11" showDropDown="0" showInputMessage="0" showErrorMessage="0" allowBlank="0" type="list">
      <formula1>"all,first,second,third,alternate,last"</formula1>
    </dataValidation>
    <dataValidation sqref="E4:E193 F12:F97" showDropDown="0" showInputMessage="0" showErrorMessage="0" allowBlank="0" type="list">
      <formula1>"meeting,deadline,publication,auction,institutional_event,other"</formula1>
    </dataValidation>
    <dataValidation sqref="J12:J97" showDropDown="0" showInputMessage="0" showErrorMessage="0" allowBlank="0" type="list">
      <formula1>"TRUE,FALSE"</formula1>
    </dataValidation>
    <dataValidation sqref="J12:J193" showDropDown="0" showInputMessage="0" showErrorMessage="0" allowBlank="0" type="list">
      <formula1>"all,first,second,third,fourth,last"</formula1>
    </dataValidation>
    <dataValidation sqref="I4:I193" showDropDown="0" showInputMessage="0" showErrorMessage="0" allowBlank="0" type="list">
      <formula1>"monday,tuesday,wednesday,thursday,friday,saturday,sunday"</formula1>
    </dataValidation>
    <dataValidation sqref="H4:H193" showDropDown="0" showInputMessage="0" showErrorMessage="0" allowBlank="0" type="list">
      <formula1>"daily,weekly,biweekly,monthly,specific_calendar"</formula1>
    </dataValidation>
    <dataValidation sqref="G4:G193 T4:T193" showDropDown="0" showInputMessage="0" showErrorMessage="0" allowBlank="0" type="list">
      <formula1>"true,false"</formula1>
    </dataValidation>
    <dataValidation sqref="F4:F193" showDropDown="0" showInputMessage="0" showErrorMessage="0" allowBlank="0" type="list">
      <formula1>"specific_date,recurring,calendar_specific"</formula1>
    </dataValidation>
  </dataValidation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12.xml><?xml version="1.0" encoding="utf-8"?>
<worksheet xmlns="http://schemas.openxmlformats.org/spreadsheetml/2006/main">
  <sheetPr>
    <outlinePr summaryBelow="1" summaryRight="1"/>
    <pageSetUpPr/>
  </sheetPr>
  <dimension ref="A1:H7"/>
  <sheetViews>
    <sheetView workbookViewId="0">
      <selection activeCell="E7" sqref="E7"/>
    </sheetView>
  </sheetViews>
  <sheetFormatPr baseColWidth="8" defaultColWidth="8.8984375" defaultRowHeight="13.8"/>
  <cols>
    <col width="10" customWidth="1" style="30" min="1" max="1"/>
    <col width="18" customWidth="1" style="30" min="2" max="5"/>
    <col width="10" customWidth="1" style="30" min="6" max="6"/>
    <col width="46" customWidth="1" style="30" min="7" max="7"/>
  </cols>
  <sheetData>
    <row r="1" ht="26.1" customHeight="1" s="30">
      <c r="A1" s="31" t="inlineStr">
        <is>
          <t>09_empresas</t>
        </is>
      </c>
    </row>
    <row r="2" ht="30" customHeight="1" s="30">
      <c r="A2" s="32" t="inlineStr">
        <is>
          <t>Empresas/clientes com eventual logo e plano associado.</t>
        </is>
      </c>
    </row>
    <row r="4" ht="27.9" customHeight="1" s="30">
      <c r="A4" s="12" t="inlineStr">
        <is>
          <t>id</t>
        </is>
      </c>
      <c r="B4" s="12" t="inlineStr">
        <is>
          <t>nome</t>
        </is>
      </c>
      <c r="C4" s="12" t="inlineStr">
        <is>
          <t>cnpj</t>
        </is>
      </c>
      <c r="D4" s="12" t="inlineStr">
        <is>
          <t>logo_url</t>
        </is>
      </c>
      <c r="E4" s="12" t="inlineStr">
        <is>
          <t>plano_code</t>
        </is>
      </c>
      <c r="F4" s="12" t="inlineStr">
        <is>
          <t>ativo</t>
        </is>
      </c>
      <c r="G4" s="12" t="inlineStr">
        <is>
          <t>observacoes</t>
        </is>
      </c>
    </row>
    <row r="5">
      <c r="A5" s="2" t="n">
        <v>1</v>
      </c>
      <c r="B5" s="2" t="inlineStr">
        <is>
          <t>FSET</t>
        </is>
      </c>
      <c r="C5" s="2" t="n"/>
      <c r="D5" s="2" t="n"/>
      <c r="E5" s="2" t="inlineStr">
        <is>
          <t>premium</t>
        </is>
      </c>
      <c r="F5" s="2" t="b">
        <v>1</v>
      </c>
      <c r="G5" s="2" t="inlineStr">
        <is>
          <t>Uso interno</t>
        </is>
      </c>
    </row>
    <row r="6">
      <c r="A6" s="2" t="n">
        <v>2</v>
      </c>
      <c r="B6" s="2" t="inlineStr">
        <is>
          <t>CPFL Energia</t>
        </is>
      </c>
      <c r="C6" s="2" t="n"/>
      <c r="D6" s="2" t="n"/>
      <c r="E6" s="2" t="inlineStr">
        <is>
          <t>premium</t>
        </is>
      </c>
      <c r="F6" s="2" t="b">
        <v>1</v>
      </c>
      <c r="G6" s="2" t="inlineStr">
        <is>
          <t>Cliente do report migrado</t>
        </is>
      </c>
    </row>
    <row r="7">
      <c r="A7" s="2" t="n">
        <v>3</v>
      </c>
      <c r="B7" s="2" t="inlineStr">
        <is>
          <t>Cliente Teste</t>
        </is>
      </c>
      <c r="C7" s="2" t="n"/>
      <c r="D7" s="2" t="n"/>
      <c r="E7" s="2" t="inlineStr">
        <is>
          <t>basic</t>
        </is>
      </c>
      <c r="F7" s="2" t="b">
        <v>1</v>
      </c>
      <c r="G7" s="2" t="inlineStr">
        <is>
          <t>Cliente fictício para teste</t>
        </is>
      </c>
    </row>
  </sheetData>
  <mergeCells count="2">
    <mergeCell ref="A2:H2"/>
    <mergeCell ref="A1:H1"/>
  </mergeCells>
  <dataValidations count="2">
    <dataValidation sqref="E5:E104" showDropDown="0" showInputMessage="0" showErrorMessage="0" allowBlank="0" type="list">
      <formula1>"basic,advanced,premium"</formula1>
    </dataValidation>
    <dataValidation sqref="F5:F104" showDropDown="0" showInputMessage="0" showErrorMessage="0" allowBlank="0" type="list">
      <formula1>"TRUE,FALSE"</formula1>
    </dataValidation>
  </dataValidation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J6"/>
  <sheetViews>
    <sheetView topLeftCell="D1" workbookViewId="0">
      <selection activeCell="D10" sqref="D10"/>
    </sheetView>
  </sheetViews>
  <sheetFormatPr baseColWidth="8" defaultColWidth="8.8984375" defaultRowHeight="13.8"/>
  <cols>
    <col width="10" customWidth="1" style="30" min="1" max="1"/>
    <col width="18" customWidth="1" style="30" min="2" max="7"/>
    <col width="10" customWidth="1" style="30" min="8" max="8"/>
    <col width="46" customWidth="1" style="30" min="9" max="9"/>
    <col width="14" customWidth="1" style="30" min="10" max="10"/>
  </cols>
  <sheetData>
    <row r="1" ht="26.1" customHeight="1" s="30">
      <c r="A1" s="31" t="inlineStr">
        <is>
          <t>10_users</t>
        </is>
      </c>
    </row>
    <row r="2" ht="30" customHeight="1" s="30">
      <c r="A2" s="32" t="inlineStr">
        <is>
          <t>Usuários do MVP. No MVP, o usuário não se cadastra sozinho.</t>
        </is>
      </c>
    </row>
    <row r="4" ht="27.9" customHeight="1" s="30">
      <c r="A4" s="12" t="inlineStr">
        <is>
          <t>id</t>
        </is>
      </c>
      <c r="B4" s="12" t="inlineStr">
        <is>
          <t>nome</t>
        </is>
      </c>
      <c r="C4" s="12" t="inlineStr">
        <is>
          <t>email</t>
        </is>
      </c>
      <c r="D4" s="12" t="inlineStr">
        <is>
          <t>empresa_id</t>
        </is>
      </c>
      <c r="E4" s="12" t="inlineStr">
        <is>
          <t>perfil_code</t>
        </is>
      </c>
      <c r="F4" s="12" t="inlineStr">
        <is>
          <t>plano_code</t>
        </is>
      </c>
      <c r="G4" s="12" t="inlineStr">
        <is>
          <t>idioma_padrao</t>
        </is>
      </c>
      <c r="H4" s="12" t="inlineStr">
        <is>
          <t>ativo</t>
        </is>
      </c>
      <c r="I4" s="12" t="inlineStr">
        <is>
          <t>observacoes</t>
        </is>
      </c>
      <c r="J4" s="12" t="inlineStr">
        <is>
          <t>senha</t>
        </is>
      </c>
    </row>
    <row r="5">
      <c r="A5" s="2" t="n">
        <v>1</v>
      </c>
      <c r="B5" s="2" t="inlineStr">
        <is>
          <t>Admin FSET</t>
        </is>
      </c>
      <c r="C5" s="2" t="inlineStr">
        <is>
          <t>admin@fset.com.br</t>
        </is>
      </c>
      <c r="D5" s="2" t="n">
        <v>1</v>
      </c>
      <c r="E5" s="2" t="inlineStr">
        <is>
          <t>admin</t>
        </is>
      </c>
      <c r="F5" s="2" t="inlineStr">
        <is>
          <t>premium</t>
        </is>
      </c>
      <c r="G5" s="2" t="inlineStr">
        <is>
          <t>pt</t>
        </is>
      </c>
      <c r="H5" s="2" t="b">
        <v>1</v>
      </c>
      <c r="I5" s="2" t="inlineStr">
        <is>
          <t>Usuário interno de teste</t>
        </is>
      </c>
      <c r="J5" s="2" t="inlineStr">
        <is>
          <t>fset2026</t>
        </is>
      </c>
    </row>
    <row r="6">
      <c r="A6" s="17" t="n">
        <v>2</v>
      </c>
      <c r="B6" s="17" t="inlineStr">
        <is>
          <t>Usuário CPFL</t>
        </is>
      </c>
      <c r="C6" s="17" t="inlineStr">
        <is>
          <t>usuario.cpfl@cpfl.com.br</t>
        </is>
      </c>
      <c r="D6" s="17" t="n">
        <v>2</v>
      </c>
      <c r="E6" s="17" t="inlineStr">
        <is>
          <t>viewer</t>
        </is>
      </c>
      <c r="F6" s="17" t="inlineStr">
        <is>
          <t>premium</t>
        </is>
      </c>
      <c r="G6" s="17" t="inlineStr">
        <is>
          <t>pt</t>
        </is>
      </c>
      <c r="H6" s="17" t="b">
        <v>1</v>
      </c>
      <c r="I6" s="17" t="inlineStr">
        <is>
          <t>Usuário cliente de teste</t>
        </is>
      </c>
      <c r="J6" s="17" t="inlineStr">
        <is>
          <t>cpfl2026</t>
        </is>
      </c>
    </row>
  </sheetData>
  <mergeCells count="2">
    <mergeCell ref="A1:I1"/>
    <mergeCell ref="A2:I2"/>
  </mergeCells>
  <dataValidations count="4">
    <dataValidation sqref="E5:E104" showDropDown="0" showInputMessage="0" showErrorMessage="0" allowBlank="0" type="list">
      <formula1>"admin,editor,viewer"</formula1>
    </dataValidation>
    <dataValidation sqref="G5:G104" showDropDown="0" showInputMessage="0" showErrorMessage="0" allowBlank="0" type="list">
      <formula1>"pt,en"</formula1>
    </dataValidation>
    <dataValidation sqref="F5:F104" showDropDown="0" showInputMessage="0" showErrorMessage="0" allowBlank="0" type="list">
      <formula1>"basic,advanced,premium"</formula1>
    </dataValidation>
    <dataValidation sqref="H5:H104" showDropDown="0" showInputMessage="0" showErrorMessage="0" allowBlank="0" type="list">
      <formula1>"TRUE,FALSE"</formula1>
    </dataValidation>
  </dataValidations>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H20"/>
  <sheetViews>
    <sheetView workbookViewId="0">
      <selection activeCell="A1" sqref="A1:H1"/>
    </sheetView>
  </sheetViews>
  <sheetFormatPr baseColWidth="8" defaultColWidth="8.8984375" defaultRowHeight="13.8"/>
  <cols>
    <col width="10" customWidth="1" style="30" min="1" max="1"/>
    <col width="18" customWidth="1" style="30" min="2" max="4"/>
    <col width="10" customWidth="1" style="30" min="5" max="5"/>
    <col width="46" customWidth="1" style="30" min="6" max="6"/>
  </cols>
  <sheetData>
    <row r="1" ht="26.1" customHeight="1" s="30">
      <c r="A1" s="31" t="inlineStr">
        <is>
          <t>11_tags</t>
        </is>
      </c>
    </row>
    <row r="2" ht="30" customHeight="1" s="30">
      <c r="A2" s="32" t="inlineStr">
        <is>
          <t>Tags reutilizáveis para busca e filtros. Use a coluna tags das abas de conteúdo separando por ponto e vírgula.</t>
        </is>
      </c>
    </row>
    <row r="4" ht="27.9" customHeight="1" s="30">
      <c r="A4" s="12" t="inlineStr">
        <is>
          <t>id</t>
        </is>
      </c>
      <c r="B4" s="12" t="inlineStr">
        <is>
          <t>nome_pt</t>
        </is>
      </c>
      <c r="C4" s="12" t="inlineStr">
        <is>
          <t>nome_en</t>
        </is>
      </c>
      <c r="D4" s="12" t="inlineStr">
        <is>
          <t>slug</t>
        </is>
      </c>
      <c r="E4" s="12" t="inlineStr">
        <is>
          <t>ativo</t>
        </is>
      </c>
      <c r="F4" s="12" t="inlineStr">
        <is>
          <t>observacoes</t>
        </is>
      </c>
    </row>
    <row r="5">
      <c r="A5" s="2" t="n">
        <v>1</v>
      </c>
      <c r="B5" s="2" t="inlineStr">
        <is>
          <t>PLD</t>
        </is>
      </c>
      <c r="C5" s="2" t="inlineStr">
        <is>
          <t>PLD</t>
        </is>
      </c>
      <c r="D5" s="2" t="inlineStr">
        <is>
          <t>pld</t>
        </is>
      </c>
      <c r="E5" s="2" t="b">
        <v>1</v>
      </c>
      <c r="F5" s="2" t="n"/>
    </row>
    <row r="6">
      <c r="A6" s="2" t="n">
        <v>2</v>
      </c>
      <c r="B6" s="2" t="inlineStr">
        <is>
          <t>MCP</t>
        </is>
      </c>
      <c r="C6" s="2" t="inlineStr">
        <is>
          <t>Short-term market</t>
        </is>
      </c>
      <c r="D6" s="2" t="inlineStr">
        <is>
          <t>mcp</t>
        </is>
      </c>
      <c r="E6" s="2" t="b">
        <v>1</v>
      </c>
      <c r="F6" s="2" t="n"/>
    </row>
    <row r="7">
      <c r="A7" s="2" t="n">
        <v>3</v>
      </c>
      <c r="B7" s="2" t="inlineStr">
        <is>
          <t>Curtailment</t>
        </is>
      </c>
      <c r="C7" s="2" t="inlineStr">
        <is>
          <t>Curtailment</t>
        </is>
      </c>
      <c r="D7" s="2" t="inlineStr">
        <is>
          <t>curtailment</t>
        </is>
      </c>
      <c r="E7" s="2" t="b">
        <v>1</v>
      </c>
      <c r="F7" s="2" t="n"/>
    </row>
    <row r="8">
      <c r="A8" s="2" t="n">
        <v>4</v>
      </c>
      <c r="B8" s="2" t="inlineStr">
        <is>
          <t>Baterias</t>
        </is>
      </c>
      <c r="C8" s="2" t="inlineStr">
        <is>
          <t>Batteries</t>
        </is>
      </c>
      <c r="D8" s="2" t="inlineStr">
        <is>
          <t>baterias</t>
        </is>
      </c>
      <c r="E8" s="2" t="b">
        <v>1</v>
      </c>
      <c r="F8" s="2" t="n"/>
    </row>
    <row r="9">
      <c r="A9" s="2" t="n">
        <v>5</v>
      </c>
      <c r="B9" s="2" t="inlineStr">
        <is>
          <t>BESS</t>
        </is>
      </c>
      <c r="C9" s="2" t="inlineStr">
        <is>
          <t>BESS</t>
        </is>
      </c>
      <c r="D9" s="2" t="inlineStr">
        <is>
          <t>bess</t>
        </is>
      </c>
      <c r="E9" s="2" t="b">
        <v>1</v>
      </c>
      <c r="F9" s="2" t="n"/>
    </row>
    <row r="10">
      <c r="A10" s="2" t="n">
        <v>6</v>
      </c>
      <c r="B10" s="2" t="inlineStr">
        <is>
          <t>Transmissão</t>
        </is>
      </c>
      <c r="C10" s="2" t="inlineStr">
        <is>
          <t>Transmission</t>
        </is>
      </c>
      <c r="D10" s="2" t="inlineStr">
        <is>
          <t>transmissao</t>
        </is>
      </c>
      <c r="E10" s="2" t="b">
        <v>1</v>
      </c>
      <c r="F10" s="2" t="n"/>
    </row>
    <row r="11">
      <c r="A11" s="2" t="n">
        <v>7</v>
      </c>
      <c r="B11" s="2" t="inlineStr">
        <is>
          <t>Mercado livre</t>
        </is>
      </c>
      <c r="C11" s="2" t="inlineStr">
        <is>
          <t>Free market</t>
        </is>
      </c>
      <c r="D11" s="2" t="inlineStr">
        <is>
          <t>mercado-livre</t>
        </is>
      </c>
      <c r="E11" s="2" t="b">
        <v>1</v>
      </c>
      <c r="F11" s="2" t="n"/>
    </row>
    <row r="12">
      <c r="A12" s="2" t="n">
        <v>8</v>
      </c>
      <c r="B12" s="2" t="inlineStr">
        <is>
          <t>Armazenamento</t>
        </is>
      </c>
      <c r="C12" s="2" t="inlineStr">
        <is>
          <t>Storage</t>
        </is>
      </c>
      <c r="D12" s="2" t="inlineStr">
        <is>
          <t>armazenamento</t>
        </is>
      </c>
      <c r="E12" s="2" t="b">
        <v>1</v>
      </c>
      <c r="F12" s="2" t="n"/>
    </row>
    <row r="13" ht="27.6" customHeight="1" s="30">
      <c r="A13" s="2" t="n">
        <v>9</v>
      </c>
      <c r="B13" s="2" t="inlineStr">
        <is>
          <t>MMGD</t>
        </is>
      </c>
      <c r="C13" s="2" t="inlineStr">
        <is>
          <t>Distributed generation</t>
        </is>
      </c>
      <c r="D13" s="2" t="inlineStr">
        <is>
          <t>mmgd</t>
        </is>
      </c>
      <c r="E13" s="2" t="b">
        <v>1</v>
      </c>
      <c r="F13" s="2" t="n"/>
    </row>
    <row r="14">
      <c r="A14" s="2" t="n">
        <v>10</v>
      </c>
      <c r="B14" s="2" t="inlineStr">
        <is>
          <t>LRCAP</t>
        </is>
      </c>
      <c r="C14" s="2" t="inlineStr">
        <is>
          <t>LRCAP</t>
        </is>
      </c>
      <c r="D14" s="2" t="inlineStr">
        <is>
          <t>lrcap</t>
        </is>
      </c>
      <c r="E14" s="2" t="b">
        <v>1</v>
      </c>
      <c r="F14" s="2" t="n"/>
    </row>
    <row r="15">
      <c r="A15" s="2" t="n">
        <v>11</v>
      </c>
      <c r="B15" s="2" t="inlineStr">
        <is>
          <t>Autoprodução</t>
        </is>
      </c>
      <c r="C15" s="2" t="inlineStr">
        <is>
          <t>Self-generation</t>
        </is>
      </c>
      <c r="D15" s="2" t="inlineStr">
        <is>
          <t>autoproducao</t>
        </is>
      </c>
      <c r="E15" s="2" t="b">
        <v>1</v>
      </c>
      <c r="F15" s="2" t="n"/>
    </row>
    <row r="16">
      <c r="A16" s="2" t="n">
        <v>12</v>
      </c>
      <c r="B16" s="2" t="inlineStr">
        <is>
          <t>Leilões</t>
        </is>
      </c>
      <c r="C16" s="2" t="inlineStr">
        <is>
          <t>Auctions</t>
        </is>
      </c>
      <c r="D16" s="2" t="inlineStr">
        <is>
          <t>leiloes</t>
        </is>
      </c>
      <c r="E16" s="2" t="b">
        <v>1</v>
      </c>
      <c r="F16" s="2" t="n"/>
    </row>
    <row r="17">
      <c r="A17" s="2" t="n">
        <v>13</v>
      </c>
      <c r="B17" s="2" t="inlineStr">
        <is>
          <t>Tarifas</t>
        </is>
      </c>
      <c r="C17" s="2" t="inlineStr">
        <is>
          <t>Tariffs</t>
        </is>
      </c>
      <c r="D17" s="2" t="inlineStr">
        <is>
          <t>tarifas</t>
        </is>
      </c>
      <c r="E17" s="2" t="b">
        <v>1</v>
      </c>
      <c r="F17" s="2" t="n"/>
    </row>
    <row r="18">
      <c r="A18" s="2" t="n">
        <v>14</v>
      </c>
      <c r="B18" s="2" t="inlineStr">
        <is>
          <t>CCEE</t>
        </is>
      </c>
      <c r="C18" s="2" t="inlineStr">
        <is>
          <t>CCEE</t>
        </is>
      </c>
      <c r="D18" s="2" t="inlineStr">
        <is>
          <t>ccee</t>
        </is>
      </c>
      <c r="E18" s="2" t="b">
        <v>1</v>
      </c>
      <c r="F18" s="2" t="n"/>
    </row>
    <row r="19">
      <c r="A19" s="2" t="n">
        <v>15</v>
      </c>
      <c r="B19" s="2" t="inlineStr">
        <is>
          <t>ANEEL</t>
        </is>
      </c>
      <c r="C19" s="2" t="inlineStr">
        <is>
          <t>ANEEL</t>
        </is>
      </c>
      <c r="D19" s="2" t="inlineStr">
        <is>
          <t>aneel</t>
        </is>
      </c>
      <c r="E19" s="2" t="b">
        <v>1</v>
      </c>
      <c r="F19" s="2" t="n"/>
    </row>
    <row r="20">
      <c r="A20" s="2" t="n">
        <v>16</v>
      </c>
      <c r="B20" s="2" t="inlineStr">
        <is>
          <t>MME</t>
        </is>
      </c>
      <c r="C20" s="2" t="inlineStr">
        <is>
          <t>MME</t>
        </is>
      </c>
      <c r="D20" s="2" t="inlineStr">
        <is>
          <t>mme</t>
        </is>
      </c>
      <c r="E20" s="2" t="b">
        <v>1</v>
      </c>
      <c r="F20" s="2" t="n"/>
    </row>
  </sheetData>
  <mergeCells count="2">
    <mergeCell ref="A2:H2"/>
    <mergeCell ref="A1:H1"/>
  </mergeCells>
  <dataValidations count="1">
    <dataValidation sqref="E5:E104" showDropDown="0" showInputMessage="0" showErrorMessage="0" allowBlank="0" type="list">
      <formula1>"TRUE,FALSE"</formula1>
    </dataValidation>
  </dataValidations>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AW12"/>
  <sheetViews>
    <sheetView workbookViewId="0">
      <selection activeCell="A1" sqref="A1:AI1"/>
    </sheetView>
  </sheetViews>
  <sheetFormatPr baseColWidth="8" defaultColWidth="8.8984375" defaultRowHeight="13.8"/>
  <cols>
    <col width="18" customWidth="1" style="30" min="1" max="35"/>
  </cols>
  <sheetData>
    <row r="1" ht="26.1" customHeight="1" s="30">
      <c r="A1" s="31" t="inlineStr">
        <is>
          <t>12_listas_controladas</t>
        </is>
      </c>
    </row>
    <row r="2" ht="30" customHeight="1" s="30">
      <c r="A2" s="32" t="inlineStr">
        <is>
          <t>Use estes códigos nos campos terminados em _code. O usuário final vê labels, não os códigos.</t>
        </is>
      </c>
    </row>
    <row r="4" ht="27.9" customHeight="1" s="30">
      <c r="A4" s="12" t="inlineStr">
        <is>
          <t>perfil_code</t>
        </is>
      </c>
      <c r="B4" s="12" t="inlineStr">
        <is>
          <t>label_pt</t>
        </is>
      </c>
      <c r="C4" s="12" t="inlineStr">
        <is>
          <t>label_en</t>
        </is>
      </c>
      <c r="D4" s="12" t="inlineStr">
        <is>
          <t>Coluna1</t>
        </is>
      </c>
      <c r="E4" s="12" t="inlineStr">
        <is>
          <t>idioma_padrao</t>
        </is>
      </c>
      <c r="F4" s="12" t="inlineStr">
        <is>
          <t>label_pt2</t>
        </is>
      </c>
      <c r="G4" s="12" t="inlineStr">
        <is>
          <t>label_en3</t>
        </is>
      </c>
      <c r="H4" s="12" t="inlineStr">
        <is>
          <t>Coluna4</t>
        </is>
      </c>
      <c r="I4" s="12" t="inlineStr">
        <is>
          <t>status_edicao_code</t>
        </is>
      </c>
      <c r="J4" s="12" t="inlineStr">
        <is>
          <t>label_pt5</t>
        </is>
      </c>
      <c r="K4" s="12" t="inlineStr">
        <is>
          <t>label_en6</t>
        </is>
      </c>
      <c r="L4" s="12" t="inlineStr">
        <is>
          <t>Coluna7</t>
        </is>
      </c>
      <c r="M4" s="12" t="inlineStr">
        <is>
          <t>status_regulatorio_code</t>
        </is>
      </c>
      <c r="N4" s="12" t="inlineStr">
        <is>
          <t>label_pt8</t>
        </is>
      </c>
      <c r="O4" s="12" t="inlineStr">
        <is>
          <t>label_en9</t>
        </is>
      </c>
      <c r="P4" s="12" t="inlineStr">
        <is>
          <t>Coluna10</t>
        </is>
      </c>
      <c r="Q4" s="12" t="inlineStr">
        <is>
          <t>tipo_consulta_code</t>
        </is>
      </c>
      <c r="R4" s="12" t="inlineStr">
        <is>
          <t>label_pt11</t>
        </is>
      </c>
      <c r="S4" s="12" t="inlineStr">
        <is>
          <t>label_en12</t>
        </is>
      </c>
      <c r="T4" s="12" t="inlineStr">
        <is>
          <t>Coluna13</t>
        </is>
      </c>
      <c r="U4" s="12" t="inlineStr">
        <is>
          <t>status_consulta_code</t>
        </is>
      </c>
      <c r="V4" s="12" t="inlineStr">
        <is>
          <t>label_pt14</t>
        </is>
      </c>
      <c r="W4" s="12" t="inlineStr">
        <is>
          <t>label_en15</t>
        </is>
      </c>
      <c r="X4" s="12" t="inlineStr">
        <is>
          <t>Coluna16</t>
        </is>
      </c>
      <c r="Y4" s="12" t="inlineStr">
        <is>
          <t>status_leilao_code</t>
        </is>
      </c>
      <c r="Z4" s="12" t="inlineStr">
        <is>
          <t>label_pt17</t>
        </is>
      </c>
      <c r="AA4" s="12" t="inlineStr">
        <is>
          <t>label_en18</t>
        </is>
      </c>
      <c r="AB4" s="12" t="inlineStr">
        <is>
          <t>Coluna19</t>
        </is>
      </c>
      <c r="AC4" s="12" t="inlineStr">
        <is>
          <t>tipo_evento_code</t>
        </is>
      </c>
      <c r="AD4" s="12" t="inlineStr">
        <is>
          <t>label_pt20</t>
        </is>
      </c>
      <c r="AE4" s="12" t="inlineStr">
        <is>
          <t>label_en21</t>
        </is>
      </c>
      <c r="AF4" s="12" t="inlineStr">
        <is>
          <t>Coluna22</t>
        </is>
      </c>
      <c r="AG4" s="12" t="inlineStr">
        <is>
          <t>tipo_orgao_code</t>
        </is>
      </c>
      <c r="AH4" s="12" t="inlineStr">
        <is>
          <t>label_pt23</t>
        </is>
      </c>
      <c r="AI4" s="12" t="inlineStr">
        <is>
          <t>label_en24</t>
        </is>
      </c>
      <c r="AK4" s="5" t="inlineStr">
        <is>
          <t>tipo_item_code</t>
        </is>
      </c>
      <c r="AL4" s="5" t="inlineStr">
        <is>
          <t>label_pt</t>
        </is>
      </c>
      <c r="AM4" s="5" t="inlineStr">
        <is>
          <t>label_en</t>
        </is>
      </c>
      <c r="AN4" s="5" t="n"/>
      <c r="AO4" s="5" t="inlineStr">
        <is>
          <t>tipo_reuniao_aneel_code</t>
        </is>
      </c>
      <c r="AP4" s="5" t="inlineStr">
        <is>
          <t>label_pt</t>
        </is>
      </c>
      <c r="AQ4" s="5" t="inlineStr">
        <is>
          <t>label_en</t>
        </is>
      </c>
      <c r="AR4" s="5" t="n"/>
      <c r="AS4" s="5" t="inlineStr">
        <is>
          <t>tipo_normativo_code</t>
        </is>
      </c>
      <c r="AT4" s="5" t="inlineStr">
        <is>
          <t>label_pt</t>
        </is>
      </c>
      <c r="AU4" s="5" t="inlineStr">
        <is>
          <t>label_en</t>
        </is>
      </c>
      <c r="AV4" s="5" t="n"/>
      <c r="AW4" s="5" t="inlineStr">
        <is>
          <t>status_normativo_code</t>
        </is>
      </c>
    </row>
    <row r="5" ht="55.2" customHeight="1" s="30">
      <c r="A5" s="2" t="inlineStr">
        <is>
          <t>admin</t>
        </is>
      </c>
      <c r="B5" s="2" t="inlineStr">
        <is>
          <t>Administrador</t>
        </is>
      </c>
      <c r="C5" s="2" t="inlineStr">
        <is>
          <t>Admin</t>
        </is>
      </c>
      <c r="D5" s="2" t="n"/>
      <c r="E5" s="2" t="inlineStr">
        <is>
          <t>pt</t>
        </is>
      </c>
      <c r="F5" s="2" t="inlineStr">
        <is>
          <t>Português</t>
        </is>
      </c>
      <c r="G5" s="2" t="inlineStr">
        <is>
          <t>Portuguese</t>
        </is>
      </c>
      <c r="H5" s="2" t="n"/>
      <c r="I5" s="2" t="inlineStr">
        <is>
          <t>draft</t>
        </is>
      </c>
      <c r="J5" s="2" t="inlineStr">
        <is>
          <t>Rascunho</t>
        </is>
      </c>
      <c r="K5" s="2" t="inlineStr">
        <is>
          <t>Draft</t>
        </is>
      </c>
      <c r="L5" s="2" t="n"/>
      <c r="M5" s="2" t="inlineStr">
        <is>
          <t>not_started</t>
        </is>
      </c>
      <c r="N5" s="2" t="inlineStr">
        <is>
          <t>Não iniciada</t>
        </is>
      </c>
      <c r="O5" s="2" t="inlineStr">
        <is>
          <t>Not started</t>
        </is>
      </c>
      <c r="P5" s="2" t="n"/>
      <c r="Q5" s="2" t="inlineStr">
        <is>
          <t>cp</t>
        </is>
      </c>
      <c r="R5" s="2" t="inlineStr">
        <is>
          <t>Consulta Pública</t>
        </is>
      </c>
      <c r="S5" s="2" t="inlineStr">
        <is>
          <t>Public Consultation</t>
        </is>
      </c>
      <c r="T5" s="2" t="n"/>
      <c r="U5" s="2" t="inlineStr">
        <is>
          <t>open</t>
        </is>
      </c>
      <c r="V5" s="2" t="inlineStr">
        <is>
          <t>Aberta</t>
        </is>
      </c>
      <c r="W5" s="2" t="inlineStr">
        <is>
          <t>Open</t>
        </is>
      </c>
      <c r="X5" s="2" t="n"/>
      <c r="Y5" s="2" t="inlineStr">
        <is>
          <t>scheduled</t>
        </is>
      </c>
      <c r="Z5" s="2" t="inlineStr">
        <is>
          <t>Agendado</t>
        </is>
      </c>
      <c r="AA5" s="2" t="inlineStr">
        <is>
          <t>Scheduled</t>
        </is>
      </c>
      <c r="AB5" s="2" t="n"/>
      <c r="AC5" s="2" t="inlineStr">
        <is>
          <t>meeting</t>
        </is>
      </c>
      <c r="AD5" s="2" t="inlineStr">
        <is>
          <t>Reunião</t>
        </is>
      </c>
      <c r="AE5" s="2" t="inlineStr">
        <is>
          <t>Meeting</t>
        </is>
      </c>
      <c r="AF5" s="2" t="n"/>
      <c r="AG5" s="2" t="inlineStr">
        <is>
          <t>regulator</t>
        </is>
      </c>
      <c r="AH5" s="2" t="inlineStr">
        <is>
          <t>Regulador</t>
        </is>
      </c>
      <c r="AI5" s="2" t="inlineStr">
        <is>
          <t>Regulator</t>
        </is>
      </c>
      <c r="AK5" s="1" t="inlineStr">
        <is>
          <t>update</t>
        </is>
      </c>
      <c r="AL5" s="1" t="inlineStr">
        <is>
          <t>Update editorial</t>
        </is>
      </c>
      <c r="AM5" s="1" t="inlineStr">
        <is>
          <t>Editorial update</t>
        </is>
      </c>
      <c r="AN5" s="1" t="n"/>
      <c r="AO5" s="1" t="inlineStr">
        <is>
          <t>ordinary_board_meeting</t>
        </is>
      </c>
      <c r="AP5" s="1" t="inlineStr">
        <is>
          <t>Reunião Ordinária da Diretoria</t>
        </is>
      </c>
      <c r="AQ5" s="1" t="inlineStr">
        <is>
          <t>Ordinary Board Meeting</t>
        </is>
      </c>
      <c r="AR5" s="1" t="n"/>
      <c r="AS5" s="1" t="inlineStr">
        <is>
          <t>resolution</t>
        </is>
      </c>
      <c r="AT5" s="1" t="inlineStr">
        <is>
          <t>Resolução</t>
        </is>
      </c>
      <c r="AU5" s="1" t="inlineStr">
        <is>
          <t>Resolution</t>
        </is>
      </c>
      <c r="AV5" s="1" t="n"/>
      <c r="AW5" s="1" t="inlineStr">
        <is>
          <t>published</t>
        </is>
      </c>
    </row>
    <row r="6" ht="55.2" customHeight="1" s="30">
      <c r="A6" s="2" t="inlineStr">
        <is>
          <t>editor</t>
        </is>
      </c>
      <c r="B6" s="2" t="inlineStr">
        <is>
          <t>Editor</t>
        </is>
      </c>
      <c r="C6" s="2" t="inlineStr">
        <is>
          <t>Editor</t>
        </is>
      </c>
      <c r="D6" s="2" t="n"/>
      <c r="E6" s="2" t="inlineStr">
        <is>
          <t>en</t>
        </is>
      </c>
      <c r="F6" s="2" t="inlineStr">
        <is>
          <t>Inglês</t>
        </is>
      </c>
      <c r="G6" s="2" t="inlineStr">
        <is>
          <t>English</t>
        </is>
      </c>
      <c r="H6" s="2" t="n"/>
      <c r="I6" s="2" t="inlineStr">
        <is>
          <t>published</t>
        </is>
      </c>
      <c r="J6" s="2" t="inlineStr">
        <is>
          <t>Publicada</t>
        </is>
      </c>
      <c r="K6" s="2" t="inlineStr">
        <is>
          <t>Published</t>
        </is>
      </c>
      <c r="L6" s="2" t="n"/>
      <c r="M6" s="2" t="inlineStr">
        <is>
          <t>started</t>
        </is>
      </c>
      <c r="N6" s="2" t="inlineStr">
        <is>
          <t>Iniciado</t>
        </is>
      </c>
      <c r="O6" s="2" t="inlineStr">
        <is>
          <t>Started</t>
        </is>
      </c>
      <c r="P6" s="2" t="n"/>
      <c r="Q6" s="2" t="inlineStr">
        <is>
          <t>ts</t>
        </is>
      </c>
      <c r="R6" s="2" t="inlineStr">
        <is>
          <t>Tomada de Subsídios</t>
        </is>
      </c>
      <c r="S6" s="2" t="inlineStr">
        <is>
          <t>Call for Input</t>
        </is>
      </c>
      <c r="T6" s="2" t="n"/>
      <c r="U6" s="2" t="inlineStr">
        <is>
          <t>closed</t>
        </is>
      </c>
      <c r="V6" s="2" t="inlineStr">
        <is>
          <t>Encerrada</t>
        </is>
      </c>
      <c r="W6" s="2" t="inlineStr">
        <is>
          <t>Closed</t>
        </is>
      </c>
      <c r="X6" s="2" t="n"/>
      <c r="Y6" s="2" t="inlineStr">
        <is>
          <t>expected</t>
        </is>
      </c>
      <c r="Z6" s="2" t="inlineStr">
        <is>
          <t>Previsto</t>
        </is>
      </c>
      <c r="AA6" s="2" t="inlineStr">
        <is>
          <t>Expected</t>
        </is>
      </c>
      <c r="AB6" s="2" t="n"/>
      <c r="AC6" s="2" t="inlineStr">
        <is>
          <t>deadline</t>
        </is>
      </c>
      <c r="AD6" s="2" t="inlineStr">
        <is>
          <t>Prazo</t>
        </is>
      </c>
      <c r="AE6" s="2" t="inlineStr">
        <is>
          <t>Deadline</t>
        </is>
      </c>
      <c r="AF6" s="2" t="n"/>
      <c r="AG6" s="2" t="inlineStr">
        <is>
          <t>ministry</t>
        </is>
      </c>
      <c r="AH6" s="2" t="inlineStr">
        <is>
          <t>Ministério</t>
        </is>
      </c>
      <c r="AI6" s="2" t="inlineStr">
        <is>
          <t>Ministry</t>
        </is>
      </c>
      <c r="AK6" s="1" t="inlineStr">
        <is>
          <t>regulatory_topic</t>
        </is>
      </c>
      <c r="AL6" s="1" t="inlineStr">
        <is>
          <t>Pendência regulatória</t>
        </is>
      </c>
      <c r="AM6" s="1" t="inlineStr">
        <is>
          <t>Regulatory topic</t>
        </is>
      </c>
      <c r="AN6" s="1" t="n"/>
      <c r="AO6" s="1" t="inlineStr">
        <is>
          <t>extraordinary_board_meeting</t>
        </is>
      </c>
      <c r="AP6" s="1" t="inlineStr">
        <is>
          <t>Reunião Extraordinária da Diretoria</t>
        </is>
      </c>
      <c r="AQ6" s="1" t="inlineStr">
        <is>
          <t>Extraordinary Board Meeting</t>
        </is>
      </c>
      <c r="AR6" s="1" t="n"/>
      <c r="AS6" s="1" t="inlineStr">
        <is>
          <t>ordinance</t>
        </is>
      </c>
      <c r="AT6" s="1" t="inlineStr">
        <is>
          <t>Portaria</t>
        </is>
      </c>
      <c r="AU6" s="1" t="inlineStr">
        <is>
          <t>Ordinance</t>
        </is>
      </c>
      <c r="AV6" s="1" t="n"/>
      <c r="AW6" s="1" t="inlineStr">
        <is>
          <t>approved_pending_publication</t>
        </is>
      </c>
    </row>
    <row r="7" ht="41.4" customHeight="1" s="30">
      <c r="A7" s="2" t="inlineStr">
        <is>
          <t>viewer</t>
        </is>
      </c>
      <c r="B7" s="2" t="inlineStr">
        <is>
          <t>Usuário final</t>
        </is>
      </c>
      <c r="C7" s="2" t="inlineStr">
        <is>
          <t>Viewer</t>
        </is>
      </c>
      <c r="D7" s="2" t="n"/>
      <c r="E7" s="2" t="n"/>
      <c r="F7" s="2" t="n"/>
      <c r="G7" s="2" t="n"/>
      <c r="H7" s="2" t="n"/>
      <c r="I7" s="2" t="inlineStr">
        <is>
          <t>archived</t>
        </is>
      </c>
      <c r="J7" s="2" t="inlineStr">
        <is>
          <t>Arquivada</t>
        </is>
      </c>
      <c r="K7" s="2" t="inlineStr">
        <is>
          <t>Archived</t>
        </is>
      </c>
      <c r="L7" s="2" t="n"/>
      <c r="M7" s="2" t="inlineStr">
        <is>
          <t>in_progress</t>
        </is>
      </c>
      <c r="N7" s="2" t="inlineStr">
        <is>
          <t>Em andamento</t>
        </is>
      </c>
      <c r="O7" s="2" t="inlineStr">
        <is>
          <t>In progress</t>
        </is>
      </c>
      <c r="P7" s="2" t="n"/>
      <c r="Q7" s="2" t="inlineStr">
        <is>
          <t>ce</t>
        </is>
      </c>
      <c r="R7" s="2" t="inlineStr">
        <is>
          <t>Consulta Externa</t>
        </is>
      </c>
      <c r="S7" s="2" t="inlineStr">
        <is>
          <t>External Consultation</t>
        </is>
      </c>
      <c r="T7" s="2" t="n"/>
      <c r="U7" s="2" t="inlineStr">
        <is>
          <t>extended</t>
        </is>
      </c>
      <c r="V7" s="2" t="inlineStr">
        <is>
          <t>Prazo prorrogado</t>
        </is>
      </c>
      <c r="W7" s="2" t="inlineStr">
        <is>
          <t>Extended</t>
        </is>
      </c>
      <c r="X7" s="2" t="n"/>
      <c r="Y7" s="2" t="inlineStr">
        <is>
          <t>under_consultation</t>
        </is>
      </c>
      <c r="Z7" s="2" t="inlineStr">
        <is>
          <t>Em consulta pública</t>
        </is>
      </c>
      <c r="AA7" s="2" t="inlineStr">
        <is>
          <t>Under consultation</t>
        </is>
      </c>
      <c r="AB7" s="2" t="n"/>
      <c r="AC7" s="2" t="inlineStr">
        <is>
          <t>publication</t>
        </is>
      </c>
      <c r="AD7" s="2" t="inlineStr">
        <is>
          <t>Publicação</t>
        </is>
      </c>
      <c r="AE7" s="2" t="inlineStr">
        <is>
          <t>Publication</t>
        </is>
      </c>
      <c r="AF7" s="2" t="n"/>
      <c r="AG7" s="2" t="inlineStr">
        <is>
          <t>operator</t>
        </is>
      </c>
      <c r="AH7" s="2" t="inlineStr">
        <is>
          <t>Operador</t>
        </is>
      </c>
      <c r="AI7" s="2" t="inlineStr">
        <is>
          <t>Operator</t>
        </is>
      </c>
      <c r="AK7" s="1" t="inlineStr">
        <is>
          <t>public_consultation</t>
        </is>
      </c>
      <c r="AL7" s="1" t="inlineStr">
        <is>
          <t>Consulta pública</t>
        </is>
      </c>
      <c r="AM7" s="1" t="inlineStr">
        <is>
          <t>Public consultation</t>
        </is>
      </c>
      <c r="AN7" s="1" t="n"/>
      <c r="AO7" s="1" t="inlineStr">
        <is>
          <t>electronic_voting_session</t>
        </is>
      </c>
      <c r="AP7" s="1" t="inlineStr">
        <is>
          <t>Circuito Deliberativo</t>
        </is>
      </c>
      <c r="AQ7" s="1" t="inlineStr">
        <is>
          <t>Electronic Voting Session</t>
        </is>
      </c>
      <c r="AR7" s="1" t="n"/>
      <c r="AS7" s="1" t="inlineStr">
        <is>
          <t>order</t>
        </is>
      </c>
      <c r="AT7" s="1" t="inlineStr">
        <is>
          <t>Despacho</t>
        </is>
      </c>
      <c r="AU7" s="1" t="inlineStr">
        <is>
          <t>Order</t>
        </is>
      </c>
      <c r="AV7" s="1" t="n"/>
      <c r="AW7" s="1" t="inlineStr">
        <is>
          <t>expected</t>
        </is>
      </c>
    </row>
    <row r="8" ht="41.4" customHeight="1" s="30">
      <c r="A8" s="2" t="n"/>
      <c r="B8" s="2" t="n"/>
      <c r="C8" s="2" t="n"/>
      <c r="D8" s="2" t="n"/>
      <c r="E8" s="2" t="n"/>
      <c r="F8" s="2" t="n"/>
      <c r="G8" s="2" t="n"/>
      <c r="H8" s="2" t="n"/>
      <c r="I8" s="2" t="n"/>
      <c r="J8" s="2" t="n"/>
      <c r="K8" s="2" t="n"/>
      <c r="L8" s="2" t="n"/>
      <c r="M8" s="2" t="inlineStr">
        <is>
          <t>waiting_decision</t>
        </is>
      </c>
      <c r="N8" s="2" t="inlineStr">
        <is>
          <t>Aguardando deliberação</t>
        </is>
      </c>
      <c r="O8" s="2" t="inlineStr">
        <is>
          <t>Awaiting decision</t>
        </is>
      </c>
      <c r="P8" s="2" t="n"/>
      <c r="Q8" s="2" t="n"/>
      <c r="R8" s="2" t="n"/>
      <c r="S8" s="2" t="n"/>
      <c r="T8" s="2" t="n"/>
      <c r="U8" s="2" t="inlineStr">
        <is>
          <t>suspended</t>
        </is>
      </c>
      <c r="V8" s="2" t="inlineStr">
        <is>
          <t>Suspensa</t>
        </is>
      </c>
      <c r="W8" s="2" t="inlineStr">
        <is>
          <t>Suspended</t>
        </is>
      </c>
      <c r="X8" s="2" t="n"/>
      <c r="Y8" s="2" t="inlineStr">
        <is>
          <t>pending_definition</t>
        </is>
      </c>
      <c r="Z8" s="2" t="inlineStr">
        <is>
          <t>A definir</t>
        </is>
      </c>
      <c r="AA8" s="2" t="inlineStr">
        <is>
          <t>Pending definition</t>
        </is>
      </c>
      <c r="AB8" s="2" t="n"/>
      <c r="AC8" s="2" t="inlineStr">
        <is>
          <t>auction</t>
        </is>
      </c>
      <c r="AD8" s="2" t="inlineStr">
        <is>
          <t>Leilão</t>
        </is>
      </c>
      <c r="AE8" s="2" t="inlineStr">
        <is>
          <t>Auction</t>
        </is>
      </c>
      <c r="AF8" s="2" t="n"/>
      <c r="AG8" s="2" t="inlineStr">
        <is>
          <t>market_chamber</t>
        </is>
      </c>
      <c r="AH8" s="2" t="inlineStr">
        <is>
          <t>Câmara de comercialização</t>
        </is>
      </c>
      <c r="AI8" s="2" t="inlineStr">
        <is>
          <t>Market chamber</t>
        </is>
      </c>
      <c r="AK8" s="1" t="inlineStr">
        <is>
          <t>auction</t>
        </is>
      </c>
      <c r="AL8" s="1" t="inlineStr">
        <is>
          <t>Leilão</t>
        </is>
      </c>
      <c r="AM8" s="1" t="inlineStr">
        <is>
          <t>Auction</t>
        </is>
      </c>
      <c r="AN8" s="1" t="n"/>
      <c r="AO8" s="1" t="n"/>
      <c r="AP8" s="1" t="n"/>
      <c r="AQ8" s="1" t="n"/>
      <c r="AR8" s="1" t="n"/>
      <c r="AS8" s="1" t="inlineStr">
        <is>
          <t>joint_technical_note</t>
        </is>
      </c>
      <c r="AT8" s="1" t="inlineStr">
        <is>
          <t>Nota Técnica Conjunta</t>
        </is>
      </c>
      <c r="AU8" s="1" t="inlineStr">
        <is>
          <t>Joint Technical Note</t>
        </is>
      </c>
      <c r="AV8" s="1" t="n"/>
      <c r="AW8" s="1" t="inlineStr">
        <is>
          <t>revoked</t>
        </is>
      </c>
    </row>
    <row r="9" ht="41.4" customHeight="1" s="30">
      <c r="A9" s="2" t="n"/>
      <c r="B9" s="2" t="n"/>
      <c r="C9" s="2" t="n"/>
      <c r="D9" s="2" t="n"/>
      <c r="E9" s="2" t="n"/>
      <c r="F9" s="2" t="n"/>
      <c r="G9" s="2" t="n"/>
      <c r="H9" s="2" t="n"/>
      <c r="I9" s="2" t="n"/>
      <c r="J9" s="2" t="n"/>
      <c r="K9" s="2" t="n"/>
      <c r="L9" s="2" t="n"/>
      <c r="M9" s="2" t="inlineStr">
        <is>
          <t>completed</t>
        </is>
      </c>
      <c r="N9" s="2" t="inlineStr">
        <is>
          <t>Concluído</t>
        </is>
      </c>
      <c r="O9" s="2" t="inlineStr">
        <is>
          <t>Completed</t>
        </is>
      </c>
      <c r="P9" s="2" t="n"/>
      <c r="Q9" s="2" t="n"/>
      <c r="R9" s="2" t="n"/>
      <c r="S9" s="2" t="n"/>
      <c r="T9" s="2" t="n"/>
      <c r="U9" s="2" t="n"/>
      <c r="V9" s="2" t="n"/>
      <c r="W9" s="2" t="n"/>
      <c r="X9" s="2" t="n"/>
      <c r="Y9" s="2" t="inlineStr">
        <is>
          <t>completed</t>
        </is>
      </c>
      <c r="Z9" s="2" t="inlineStr">
        <is>
          <t>Realizado</t>
        </is>
      </c>
      <c r="AA9" s="2" t="inlineStr">
        <is>
          <t>Completed</t>
        </is>
      </c>
      <c r="AB9" s="2" t="n"/>
      <c r="AC9" s="2" t="inlineStr">
        <is>
          <t>institutional_event</t>
        </is>
      </c>
      <c r="AD9" s="2" t="inlineStr">
        <is>
          <t>Evento institucional</t>
        </is>
      </c>
      <c r="AE9" s="2" t="inlineStr">
        <is>
          <t>Institutional event</t>
        </is>
      </c>
      <c r="AF9" s="2" t="n"/>
      <c r="AG9" s="2" t="inlineStr">
        <is>
          <t>council</t>
        </is>
      </c>
      <c r="AH9" s="2" t="inlineStr">
        <is>
          <t>Conselho/comitê</t>
        </is>
      </c>
      <c r="AI9" s="2" t="inlineStr">
        <is>
          <t>Council/committee</t>
        </is>
      </c>
      <c r="AK9" s="1" t="inlineStr">
        <is>
          <t>agenda_event</t>
        </is>
      </c>
      <c r="AL9" s="1" t="inlineStr">
        <is>
          <t>Evento da agenda</t>
        </is>
      </c>
      <c r="AM9" s="1" t="inlineStr">
        <is>
          <t>Agenda event</t>
        </is>
      </c>
      <c r="AN9" s="1" t="n"/>
      <c r="AO9" s="1" t="n"/>
      <c r="AP9" s="1" t="n"/>
      <c r="AQ9" s="1" t="n"/>
      <c r="AR9" s="1" t="n"/>
      <c r="AS9" s="1" t="inlineStr">
        <is>
          <t>notice</t>
        </is>
      </c>
      <c r="AT9" s="1" t="inlineStr">
        <is>
          <t>Edital</t>
        </is>
      </c>
      <c r="AU9" s="1" t="inlineStr">
        <is>
          <t>Auction Notice</t>
        </is>
      </c>
      <c r="AV9" s="1" t="n"/>
      <c r="AW9" s="1" t="n"/>
    </row>
    <row r="10" ht="41.4" customHeight="1" s="30">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inlineStr">
        <is>
          <t>cancelled</t>
        </is>
      </c>
      <c r="Z10" s="2" t="inlineStr">
        <is>
          <t>Cancelado</t>
        </is>
      </c>
      <c r="AA10" s="2" t="inlineStr">
        <is>
          <t>Cancelled</t>
        </is>
      </c>
      <c r="AB10" s="2" t="n"/>
      <c r="AC10" s="2" t="inlineStr">
        <is>
          <t>other</t>
        </is>
      </c>
      <c r="AD10" s="2" t="inlineStr">
        <is>
          <t>Outro</t>
        </is>
      </c>
      <c r="AE10" s="2" t="inlineStr">
        <is>
          <t>Other</t>
        </is>
      </c>
      <c r="AF10" s="2" t="n"/>
      <c r="AG10" s="2" t="inlineStr">
        <is>
          <t>financial_institution</t>
        </is>
      </c>
      <c r="AH10" s="2" t="inlineStr">
        <is>
          <t>Instituição financeira</t>
        </is>
      </c>
      <c r="AI10" s="2" t="inlineStr">
        <is>
          <t>Financial institution</t>
        </is>
      </c>
      <c r="AK10" s="1" t="inlineStr">
        <is>
          <t>aneel_agenda</t>
        </is>
      </c>
      <c r="AL10" s="1" t="inlineStr">
        <is>
          <t>Pauta ANEEL</t>
        </is>
      </c>
      <c r="AM10" s="1" t="inlineStr">
        <is>
          <t>Agenda of ANEEL’s</t>
        </is>
      </c>
      <c r="AN10" s="1" t="n"/>
      <c r="AO10" s="1" t="n"/>
      <c r="AP10" s="1" t="n"/>
      <c r="AQ10" s="1" t="n"/>
      <c r="AR10" s="1" t="n"/>
      <c r="AS10" s="1" t="inlineStr">
        <is>
          <t>law</t>
        </is>
      </c>
      <c r="AT10" s="1" t="inlineStr">
        <is>
          <t>Lei</t>
        </is>
      </c>
      <c r="AU10" s="1" t="inlineStr">
        <is>
          <t>Law</t>
        </is>
      </c>
      <c r="AV10" s="1" t="n"/>
      <c r="AW10" s="1" t="n"/>
    </row>
    <row r="11" ht="41.4" customHeight="1" s="30">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c r="AB11" s="2" t="n"/>
      <c r="AC11" s="2" t="n"/>
      <c r="AD11" s="2" t="n"/>
      <c r="AE11" s="2" t="n"/>
      <c r="AF11" s="2" t="n"/>
      <c r="AG11" s="2" t="inlineStr">
        <is>
          <t>legislative</t>
        </is>
      </c>
      <c r="AH11" s="2" t="inlineStr">
        <is>
          <t>Legislativo</t>
        </is>
      </c>
      <c r="AI11" s="2" t="inlineStr">
        <is>
          <t>Legislative</t>
        </is>
      </c>
      <c r="AK11" s="1" t="inlineStr">
        <is>
          <t>published_regulatory_act</t>
        </is>
      </c>
      <c r="AL11" s="1" t="inlineStr">
        <is>
          <t>Normativo publicado</t>
        </is>
      </c>
      <c r="AM11" s="1" t="inlineStr">
        <is>
          <t>Published Regulatory Act</t>
        </is>
      </c>
      <c r="AN11" s="1" t="n"/>
      <c r="AO11" s="1" t="n"/>
      <c r="AP11" s="1" t="n"/>
      <c r="AQ11" s="1" t="n"/>
      <c r="AR11" s="1" t="n"/>
      <c r="AS11" s="1" t="inlineStr">
        <is>
          <t>other</t>
        </is>
      </c>
      <c r="AT11" s="1" t="inlineStr">
        <is>
          <t>Outro</t>
        </is>
      </c>
      <c r="AU11" s="1" t="inlineStr">
        <is>
          <t>Other</t>
        </is>
      </c>
      <c r="AV11" s="1" t="n"/>
      <c r="AW11" s="1"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c r="AB12" s="2" t="n"/>
      <c r="AC12" s="2" t="n"/>
      <c r="AD12" s="2" t="n"/>
      <c r="AE12" s="2" t="n"/>
      <c r="AF12" s="2" t="n"/>
      <c r="AG12" s="2" t="inlineStr">
        <is>
          <t>other</t>
        </is>
      </c>
      <c r="AH12" s="2" t="inlineStr">
        <is>
          <t>Outro</t>
        </is>
      </c>
      <c r="AI12" s="2" t="inlineStr">
        <is>
          <t>Other</t>
        </is>
      </c>
      <c r="AK12" s="1" t="n"/>
      <c r="AL12" s="1" t="n"/>
      <c r="AM12" s="1" t="n"/>
      <c r="AN12" s="1" t="n"/>
      <c r="AO12" s="1" t="n"/>
      <c r="AP12" s="1" t="n"/>
      <c r="AQ12" s="1" t="n"/>
      <c r="AR12" s="1" t="n"/>
      <c r="AS12" s="1" t="n"/>
      <c r="AT12" s="1" t="n"/>
      <c r="AU12" s="1" t="n"/>
      <c r="AV12" s="1" t="n"/>
      <c r="AW12" s="1" t="n"/>
    </row>
  </sheetData>
  <mergeCells count="2">
    <mergeCell ref="A2:AI2"/>
    <mergeCell ref="A1:AI1"/>
  </mergeCells>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H12"/>
  <sheetViews>
    <sheetView workbookViewId="0">
      <selection activeCell="A1" sqref="A1:H1"/>
    </sheetView>
  </sheetViews>
  <sheetFormatPr baseColWidth="8" defaultColWidth="8.8984375" defaultRowHeight="13.8"/>
  <cols>
    <col width="18" customWidth="1" style="30" min="1" max="3"/>
  </cols>
  <sheetData>
    <row r="1" ht="26.1" customHeight="1" s="30">
      <c r="A1" s="31" t="inlineStr">
        <is>
          <t>13_validacao</t>
        </is>
      </c>
    </row>
    <row r="2" ht="30" customHeight="1" s="30">
      <c r="A2" s="32" t="inlineStr">
        <is>
          <t>Painel simples para checar se a planilha está pronta para exportação.</t>
        </is>
      </c>
    </row>
    <row r="4" ht="27.9" customHeight="1" s="30">
      <c r="A4" s="12" t="inlineStr">
        <is>
          <t>Checagem</t>
        </is>
      </c>
      <c r="B4" s="12" t="inlineStr">
        <is>
          <t>Fórmula/critério</t>
        </is>
      </c>
      <c r="C4" s="12" t="inlineStr">
        <is>
          <t>Resultado esperado</t>
        </is>
      </c>
    </row>
    <row r="5">
      <c r="A5" s="2" t="inlineStr">
        <is>
          <t>Edições cadastradas</t>
        </is>
      </c>
      <c r="B5" s="2">
        <f>COUNTA('01_edicoes'!A5:A1000)</f>
        <v/>
      </c>
      <c r="C5" s="2" t="n">
        <v>2</v>
      </c>
    </row>
    <row r="6">
      <c r="A6" s="2" t="inlineStr">
        <is>
          <t>Edições publicadas</t>
        </is>
      </c>
      <c r="B6" s="2">
        <f>COUNTIF('01_edicoes'!E5:E1000,"published")</f>
        <v/>
      </c>
      <c r="C6" s="2" t="n">
        <v>2</v>
      </c>
    </row>
    <row r="7" ht="27.6" customHeight="1" s="30">
      <c r="A7" s="2" t="inlineStr">
        <is>
          <t>Seções ativas na Home</t>
        </is>
      </c>
      <c r="B7" s="2">
        <f>COUNTIFS('02_secoes'!G5:G1000,TRUE,'02_secoes'!I5:I1000,TRUE)</f>
        <v/>
      </c>
      <c r="C7" s="2" t="n">
        <v>6</v>
      </c>
    </row>
    <row r="8">
      <c r="A8" s="2" t="inlineStr">
        <is>
          <t>Destaques ativos</t>
        </is>
      </c>
      <c r="B8" s="2">
        <f>COUNTIF('04_destaques'!K5:K1006,TRUE)</f>
        <v/>
      </c>
      <c r="C8" s="2" t="n">
        <v>9</v>
      </c>
    </row>
    <row r="9" ht="27.6" customHeight="1" s="30">
      <c r="A9" s="2" t="inlineStr">
        <is>
          <t>Pendências regulatórias ativas</t>
        </is>
      </c>
      <c r="B9" s="2">
        <f>COUNTIF('05_pendencias'!L5:L1000,TRUE)</f>
        <v/>
      </c>
      <c r="C9" s="2" t="n">
        <v>55</v>
      </c>
    </row>
    <row r="10" ht="27.6" customHeight="1" s="30">
      <c r="A10" s="2" t="inlineStr">
        <is>
          <t>Consultas públicas ativas</t>
        </is>
      </c>
      <c r="B10" s="2">
        <f>COUNTIF('06_consultas'!O5:O1000,TRUE)</f>
        <v/>
      </c>
      <c r="C10" s="2" t="n">
        <v>6</v>
      </c>
    </row>
    <row r="11">
      <c r="A11" s="2" t="inlineStr">
        <is>
          <t>Leilões ativos</t>
        </is>
      </c>
      <c r="B11" s="2">
        <f>COUNTIF('07_leiloes'!P5:P1000,TRUE)</f>
        <v/>
      </c>
      <c r="C11" s="2" t="n">
        <v>10</v>
      </c>
    </row>
    <row r="12" ht="27.6" customHeight="1" s="30">
      <c r="A12" s="2" t="inlineStr">
        <is>
          <t>Eventos de agenda ativos</t>
        </is>
      </c>
      <c r="B12" s="2">
        <f>COUNTIF('08_agenda'!J4:J993,TRUE)</f>
        <v/>
      </c>
      <c r="C12" s="2" t="n">
        <v>13</v>
      </c>
    </row>
  </sheetData>
  <mergeCells count="2">
    <mergeCell ref="A2:H2"/>
    <mergeCell ref="A1:H1"/>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Andressa Costa Farias</dc:creator>
  <dcterms:created xsi:type="dcterms:W3CDTF">2026-06-30T20:35:21Z</dcterms:created>
  <dcterms:modified xsi:type="dcterms:W3CDTF">2026-07-15T17:39:30Z</dcterms:modified>
  <cp:lastModifiedBy>Guilherme Callado</cp:lastModifiedBy>
</cp:coreProperties>
</file>